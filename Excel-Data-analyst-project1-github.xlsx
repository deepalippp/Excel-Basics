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deepa\Downloads\"/>
    </mc:Choice>
  </mc:AlternateContent>
  <xr:revisionPtr revIDLastSave="0" documentId="13_ncr:1_{511386D2-D567-483C-BC92-C6A89EEC46AF}" xr6:coauthVersionLast="47" xr6:coauthVersionMax="47" xr10:uidLastSave="{00000000-0000-0000-0000-000000000000}"/>
  <bookViews>
    <workbookView xWindow="-120" yWindow="-120" windowWidth="20730" windowHeight="11040" activeTab="5" xr2:uid="{F2D7CF5D-155E-4D9C-BAB8-2A6011395F52}"/>
  </bookViews>
  <sheets>
    <sheet name="Formulas" sheetId="4" r:id="rId1"/>
    <sheet name="Vlookup" sheetId="1" r:id="rId2"/>
    <sheet name="names" sheetId="13" r:id="rId3"/>
    <sheet name="Explanation" sheetId="5" r:id="rId4"/>
    <sheet name="Main working sheet" sheetId="11" r:id="rId5"/>
    <sheet name="SUM,AVG,CONCAT" sheetId="14" r:id="rId6"/>
  </sheets>
  <definedNames>
    <definedName name="_xlnm._FilterDatabase" localSheetId="4" hidden="1">'Main working sheet'!$B$128:$I$143</definedName>
    <definedName name="Slicer_Gender">#N/A</definedName>
    <definedName name="Slicer_Gender1">#N/A</definedName>
    <definedName name="Slicer_Home">#N/A</definedName>
  </definedNames>
  <calcPr calcId="191029"/>
  <pivotCaches>
    <pivotCache cacheId="2" r:id="rId7"/>
    <pivotCache cacheId="3"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 i="14" l="1"/>
  <c r="I7" i="14"/>
  <c r="H7" i="14"/>
  <c r="J6" i="14"/>
  <c r="I6" i="14"/>
  <c r="H6" i="14"/>
  <c r="J5" i="14"/>
  <c r="I5" i="14"/>
  <c r="H5" i="14"/>
  <c r="J4" i="14"/>
  <c r="I4" i="14"/>
  <c r="H4" i="14"/>
  <c r="J3" i="14"/>
  <c r="I3" i="14"/>
  <c r="H3" i="14"/>
  <c r="G21" i="4"/>
  <c r="F21" i="4"/>
  <c r="G20" i="4"/>
  <c r="F20" i="4"/>
  <c r="G19" i="4"/>
  <c r="F19" i="4"/>
  <c r="G18" i="4"/>
  <c r="F18" i="4"/>
  <c r="L271" i="11"/>
  <c r="L272" i="11"/>
  <c r="L273" i="11"/>
  <c r="L274" i="11"/>
  <c r="L270" i="11"/>
  <c r="J33" i="11"/>
  <c r="I33" i="11"/>
  <c r="H33" i="11"/>
  <c r="H29" i="11"/>
  <c r="J34" i="11"/>
  <c r="I34" i="11"/>
  <c r="H34" i="11"/>
  <c r="J32" i="11"/>
  <c r="I32" i="11"/>
  <c r="H32" i="11"/>
  <c r="J31" i="11"/>
  <c r="I31" i="11"/>
  <c r="H31" i="11"/>
  <c r="J30" i="11"/>
  <c r="I30" i="11"/>
  <c r="H30" i="11"/>
  <c r="J29" i="11"/>
  <c r="I29" i="11"/>
  <c r="J20" i="11"/>
  <c r="I20" i="11"/>
  <c r="H20" i="11"/>
  <c r="J23" i="11"/>
  <c r="I23" i="11"/>
  <c r="H23" i="11"/>
  <c r="J22" i="11"/>
  <c r="I22" i="11"/>
  <c r="H22" i="11"/>
  <c r="J21" i="11"/>
  <c r="I21" i="11"/>
  <c r="H21" i="11"/>
  <c r="J24" i="11"/>
  <c r="I24" i="11"/>
  <c r="H24" i="11"/>
  <c r="H16" i="11"/>
  <c r="H13" i="11"/>
  <c r="H14" i="11"/>
  <c r="H15" i="11"/>
  <c r="H12" i="11"/>
  <c r="E41" i="11"/>
  <c r="E42" i="11"/>
  <c r="E43" i="11"/>
  <c r="E44" i="11"/>
  <c r="E40" i="11"/>
  <c r="C44" i="11"/>
  <c r="C43" i="11"/>
  <c r="D41" i="11"/>
  <c r="D42" i="11"/>
  <c r="D43" i="11"/>
  <c r="D44" i="11"/>
  <c r="D40" i="11"/>
  <c r="C42" i="11"/>
  <c r="C41" i="11"/>
  <c r="C40" i="11"/>
  <c r="J4" i="11"/>
  <c r="J5" i="11"/>
  <c r="J6" i="11"/>
  <c r="J7" i="11"/>
  <c r="J3" i="11"/>
  <c r="I4" i="11"/>
  <c r="I5" i="11"/>
  <c r="I6" i="11"/>
  <c r="I7" i="11"/>
  <c r="I3" i="11"/>
  <c r="H4" i="11"/>
  <c r="H5" i="11"/>
  <c r="H6" i="11"/>
  <c r="H7" i="11"/>
  <c r="H3" i="11"/>
  <c r="P8" i="1"/>
  <c r="P9" i="1"/>
  <c r="P10" i="1"/>
  <c r="P11" i="1"/>
  <c r="P7" i="1"/>
  <c r="B26" i="1"/>
  <c r="B27" i="1"/>
  <c r="B25" i="1"/>
  <c r="K14" i="1"/>
  <c r="K17" i="1"/>
  <c r="K21" i="1"/>
  <c r="K8" i="1"/>
  <c r="K19" i="1"/>
  <c r="K13" i="1"/>
  <c r="K9" i="1"/>
  <c r="K15" i="1"/>
  <c r="K11" i="1"/>
  <c r="K12" i="1"/>
  <c r="K16" i="1"/>
  <c r="K10" i="1"/>
  <c r="K20" i="1"/>
  <c r="K7" i="1"/>
  <c r="K18" i="1"/>
  <c r="J14" i="1"/>
  <c r="L14" i="1" s="1"/>
  <c r="J17" i="1"/>
  <c r="L17" i="1" s="1"/>
  <c r="J21" i="1"/>
  <c r="L21" i="1" s="1"/>
  <c r="J8" i="1"/>
  <c r="L8" i="1" s="1"/>
  <c r="J19" i="1"/>
  <c r="L19" i="1" s="1"/>
  <c r="J13" i="1"/>
  <c r="L13" i="1" s="1"/>
  <c r="D26" i="1" s="1"/>
  <c r="J9" i="1"/>
  <c r="L9" i="1" s="1"/>
  <c r="D27" i="1" s="1"/>
  <c r="J15" i="1"/>
  <c r="L15" i="1" s="1"/>
  <c r="J11" i="1"/>
  <c r="L11" i="1" s="1"/>
  <c r="D25" i="1" s="1"/>
  <c r="J12" i="1"/>
  <c r="L12" i="1" s="1"/>
  <c r="J16" i="1"/>
  <c r="L16" i="1" s="1"/>
  <c r="J10" i="1"/>
  <c r="L10" i="1" s="1"/>
  <c r="J20" i="1"/>
  <c r="L20" i="1" s="1"/>
  <c r="J7" i="1"/>
  <c r="L7" i="1" s="1"/>
  <c r="I14" i="1"/>
  <c r="I17" i="1"/>
  <c r="I21" i="1"/>
  <c r="I8" i="1"/>
  <c r="I19" i="1"/>
  <c r="I13" i="1"/>
  <c r="C26" i="1" s="1"/>
  <c r="I9" i="1"/>
  <c r="C27" i="1" s="1"/>
  <c r="I15" i="1"/>
  <c r="I11" i="1"/>
  <c r="C25" i="1" s="1"/>
  <c r="I12" i="1"/>
  <c r="I16" i="1"/>
  <c r="I10" i="1"/>
  <c r="I20" i="1"/>
  <c r="I7" i="1"/>
  <c r="J18" i="1"/>
  <c r="L18" i="1" s="1"/>
  <c r="I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Deepali Patange</author>
  </authors>
  <commentList>
    <comment ref="B15" authorId="0" shapeId="0" xr:uid="{81C74BC2-EFC4-43C9-92E1-F641818DF8AF}">
      <text>
        <r>
          <rPr>
            <b/>
            <sz val="9"/>
            <color indexed="81"/>
            <rFont val="Tahoma"/>
            <family val="2"/>
          </rPr>
          <t>Deepali Patange:</t>
        </r>
        <r>
          <rPr>
            <sz val="9"/>
            <color indexed="81"/>
            <rFont val="Tahoma"/>
            <family val="2"/>
          </rPr>
          <t xml:space="preserve">
Like this
</t>
        </r>
      </text>
    </comment>
    <comment ref="C15" authorId="0" shapeId="0" xr:uid="{4441AB80-6897-4E17-AAF9-F9E3BADF640F}">
      <text>
        <r>
          <rPr>
            <b/>
            <sz val="9"/>
            <color indexed="81"/>
            <rFont val="Tahoma"/>
            <family val="2"/>
          </rPr>
          <t>Deepali Patange:</t>
        </r>
        <r>
          <rPr>
            <sz val="9"/>
            <color indexed="81"/>
            <rFont val="Tahoma"/>
            <family val="2"/>
          </rPr>
          <t xml:space="preserve">
like this
</t>
        </r>
      </text>
    </comment>
  </commentList>
</comments>
</file>

<file path=xl/sharedStrings.xml><?xml version="1.0" encoding="utf-8"?>
<sst xmlns="http://schemas.openxmlformats.org/spreadsheetml/2006/main" count="1070" uniqueCount="219">
  <si>
    <t>vlookup</t>
  </si>
  <si>
    <t>Name</t>
  </si>
  <si>
    <t>Gender</t>
  </si>
  <si>
    <t>Age</t>
  </si>
  <si>
    <t>Class</t>
  </si>
  <si>
    <t>Unit Test 1</t>
  </si>
  <si>
    <t>Unit Test 2</t>
  </si>
  <si>
    <t>Final Test</t>
  </si>
  <si>
    <t>Abhimanyu</t>
  </si>
  <si>
    <t>M</t>
  </si>
  <si>
    <t>Vrinda</t>
  </si>
  <si>
    <t>Arjun</t>
  </si>
  <si>
    <t>Gopi</t>
  </si>
  <si>
    <t>Champa</t>
  </si>
  <si>
    <t>F</t>
  </si>
  <si>
    <t>Madhav</t>
  </si>
  <si>
    <t>Gopal</t>
  </si>
  <si>
    <t>Hari</t>
  </si>
  <si>
    <t>Indu</t>
  </si>
  <si>
    <t>Keshav</t>
  </si>
  <si>
    <t>Lalita</t>
  </si>
  <si>
    <t>Sudevi</t>
  </si>
  <si>
    <t>Vidya</t>
  </si>
  <si>
    <t>Visakha</t>
  </si>
  <si>
    <t>Excel course intro</t>
  </si>
  <si>
    <t>Excel basic features</t>
  </si>
  <si>
    <t>Basic formatting</t>
  </si>
  <si>
    <t>Using formulas</t>
  </si>
  <si>
    <t>save file</t>
  </si>
  <si>
    <t>Filter and sorting</t>
  </si>
  <si>
    <t>Conditional Formatting</t>
  </si>
  <si>
    <t>Insert and delete columns or rows</t>
  </si>
  <si>
    <t>Find &amp; remove duplicates</t>
  </si>
  <si>
    <t>Merge &amp; centre</t>
  </si>
  <si>
    <t>AVG</t>
  </si>
  <si>
    <t>CONCATENATE</t>
  </si>
  <si>
    <t>SUM</t>
  </si>
  <si>
    <t>Last name</t>
  </si>
  <si>
    <t>First name</t>
  </si>
  <si>
    <t>Shastry</t>
  </si>
  <si>
    <t>reddy</t>
  </si>
  <si>
    <t>verma</t>
  </si>
  <si>
    <t>Kumar</t>
  </si>
  <si>
    <t>Tandon</t>
  </si>
  <si>
    <t>kumari</t>
  </si>
  <si>
    <t>Kulkarni</t>
  </si>
  <si>
    <t>chauhan</t>
  </si>
  <si>
    <t>Parasad</t>
  </si>
  <si>
    <t>srivastav</t>
  </si>
  <si>
    <t>sharma</t>
  </si>
  <si>
    <t>Gupta</t>
  </si>
  <si>
    <t>click left or right to insert new column/row by just right clickling</t>
  </si>
  <si>
    <t>Rankings</t>
  </si>
  <si>
    <t>Sum of SUM</t>
  </si>
  <si>
    <t>average</t>
  </si>
  <si>
    <t>topper</t>
  </si>
  <si>
    <t>Vlookup</t>
  </si>
  <si>
    <t>Home</t>
  </si>
  <si>
    <t>Bhumi</t>
  </si>
  <si>
    <t>agni</t>
  </si>
  <si>
    <t>aayu</t>
  </si>
  <si>
    <t>pruthvi</t>
  </si>
  <si>
    <t>use Cells.EntireColumn.AutoFit to autofit the data aacordingly</t>
  </si>
  <si>
    <t>Autofit</t>
  </si>
  <si>
    <t>Row Labels</t>
  </si>
  <si>
    <t>Sum of Final Test</t>
  </si>
  <si>
    <t>Design</t>
  </si>
  <si>
    <t>header and  coubt can be hidden in pivot table representation</t>
  </si>
  <si>
    <t>Rounding of numbers</t>
  </si>
  <si>
    <t>Autofill in Excel</t>
  </si>
  <si>
    <t>Filters</t>
  </si>
  <si>
    <t>Sorting on multiple columns</t>
  </si>
  <si>
    <t>insert table</t>
  </si>
  <si>
    <t>slicers</t>
  </si>
  <si>
    <t>insert picture or shapes</t>
  </si>
  <si>
    <t>add link or hyperlink</t>
  </si>
  <si>
    <t>add drop down list</t>
  </si>
  <si>
    <t>split text</t>
  </si>
  <si>
    <t>charts in excel</t>
  </si>
  <si>
    <t>Vlookup formula</t>
  </si>
  <si>
    <t>pivot table</t>
  </si>
  <si>
    <t>outro</t>
  </si>
  <si>
    <t xml:space="preserve">How to open excel,settings,templates,workbook,tabs,ribbon,group,name box
formula bar will display formula, rows and columns,A2:B2,A1:B1, sheet1 has option,
+ to add new sheet,rename sheets,rename workbook name,
</t>
  </si>
  <si>
    <t>Excel is a tool a file that contains one or more worksheets (spreadsheets) 
used to organize, analyze, and store data in rows and columns</t>
  </si>
  <si>
    <t>Firstname</t>
  </si>
  <si>
    <t>Sl no</t>
  </si>
  <si>
    <t>DOJ</t>
  </si>
  <si>
    <t>Sal- Jan</t>
  </si>
  <si>
    <t>Sal- Feb</t>
  </si>
  <si>
    <t>Sal-Mar</t>
  </si>
  <si>
    <t>Sal-Total</t>
  </si>
  <si>
    <t>Avg Sal</t>
  </si>
  <si>
    <t>Full name</t>
  </si>
  <si>
    <t>RNM</t>
  </si>
  <si>
    <t>Verma</t>
  </si>
  <si>
    <t>Joseph</t>
  </si>
  <si>
    <t>Paul</t>
  </si>
  <si>
    <t>Singh</t>
  </si>
  <si>
    <t>Raja</t>
  </si>
  <si>
    <t>Ram</t>
  </si>
  <si>
    <t>Inserting data into row,columns, headers
alignment center left right, adding numbers or percentage
Using clipboard to copy and drop, format painter, do , undo, home tab, fonts
hold onto alt enter to add up space and enter new data 
alt+enter = add up space
Font style ,size change
Zoom in - Zoom out, clipboard (format painter)</t>
  </si>
  <si>
    <t>adding  SUM ,AVG formulas, CONCATENATE, add decimal, number,
filter data largest and then add  conditional formatting color scale,paste special, paste values only</t>
  </si>
  <si>
    <t>Save as .csv,xlsx, or any other format, location to be saved</t>
  </si>
  <si>
    <t>Round off,round up, roound down decimals
ctrl+shift+L to filter based on column,sort option and add the condition, largest to smallest,conditional format-&gt;color scale-&gt;select color</t>
  </si>
  <si>
    <t xml:space="preserve">Highlight duplicates by going to conditional format-&gt;highlight duplicates
Filter based on condition=&gt;greater values and higlight on colour, insert /delete column,select column and ctrl -, ctrl + </t>
  </si>
  <si>
    <t>We can merge and center text based on requirement, wrap text, numbers ribbon, check on percentage</t>
  </si>
  <si>
    <t>Numbers</t>
  </si>
  <si>
    <t>Round</t>
  </si>
  <si>
    <t>Round Up</t>
  </si>
  <si>
    <t>Round Down</t>
  </si>
  <si>
    <t>Round (as per the requirement),round up(rounded to next number),
 round down decimals( rounded down to previous number)</t>
  </si>
  <si>
    <t>January</t>
  </si>
  <si>
    <t>February</t>
  </si>
  <si>
    <t>March</t>
  </si>
  <si>
    <t>April</t>
  </si>
  <si>
    <t>May</t>
  </si>
  <si>
    <t>June</t>
  </si>
  <si>
    <t>July</t>
  </si>
  <si>
    <t>August</t>
  </si>
  <si>
    <t>September</t>
  </si>
  <si>
    <t>October</t>
  </si>
  <si>
    <t>November</t>
  </si>
  <si>
    <t>December</t>
  </si>
  <si>
    <t>Jan</t>
  </si>
  <si>
    <t>Feb</t>
  </si>
  <si>
    <t>Mar</t>
  </si>
  <si>
    <t>Apr</t>
  </si>
  <si>
    <t>Jun</t>
  </si>
  <si>
    <t>Jul</t>
  </si>
  <si>
    <t>Aug</t>
  </si>
  <si>
    <t>Sep</t>
  </si>
  <si>
    <t>Oct</t>
  </si>
  <si>
    <t>Nov</t>
  </si>
  <si>
    <t>Dec</t>
  </si>
  <si>
    <t>Monday</t>
  </si>
  <si>
    <t>Tuesday</t>
  </si>
  <si>
    <t>Wednesday</t>
  </si>
  <si>
    <t>Thursday</t>
  </si>
  <si>
    <t>Friday</t>
  </si>
  <si>
    <t>Saturday</t>
  </si>
  <si>
    <t>Sunday</t>
  </si>
  <si>
    <t>Mon</t>
  </si>
  <si>
    <t>Tue</t>
  </si>
  <si>
    <t>Wed</t>
  </si>
  <si>
    <t>Thu</t>
  </si>
  <si>
    <t>Fri</t>
  </si>
  <si>
    <t>Sat</t>
  </si>
  <si>
    <t>Sun</t>
  </si>
  <si>
    <t xml:space="preserve"> Just add first tow columns excel will inderstand the pattern just select ctrl and drag</t>
  </si>
  <si>
    <t>Add or edit comment</t>
  </si>
  <si>
    <t xml:space="preserve">Just add comment in the excel particular column, added comment beside </t>
  </si>
  <si>
    <t xml:space="preserve"> Ctrl shift L to add filters, add filters based on gender , 
or by final test , or add pivot, clear filter , search name based on filter
sort based on highest/lowest</t>
  </si>
  <si>
    <t>SORTING on multiple columns</t>
  </si>
  <si>
    <t>filter -&gt;sort-&gt;age-&gt;smallest to largest -&gt; add level-&gt; final test-&gt;largest to smallest
can add sort on two columns (ex: age and final score) were first table will be sorted and later second will get sorted and displayed</t>
  </si>
  <si>
    <t>Autofill - just add first two columns and shift and drag till down</t>
  </si>
  <si>
    <t>Using formulas (SUM, AVG,Concat) , basic formatting</t>
  </si>
  <si>
    <t>Sort and filter</t>
  </si>
  <si>
    <t>Find and remove duplicates</t>
  </si>
  <si>
    <t>Highlight duplicates by going to conditional format-&gt;highlight duplicates select color
select data -&gt;  data tools -&gt; remove duplicates, insert row and then we can copy and ctrl Y</t>
  </si>
  <si>
    <t>Merge and center</t>
  </si>
  <si>
    <t>Filter based on gender</t>
  </si>
  <si>
    <t>between 91 and 99</t>
  </si>
  <si>
    <t xml:space="preserve"> CTRL T to add table to insert table  and table design</t>
  </si>
  <si>
    <t>Create table by selecting ctrl T and add table design</t>
  </si>
  <si>
    <t>Add slicer only after creating table</t>
  </si>
  <si>
    <t>Can be added only after converting data to table and then adding slicers</t>
  </si>
  <si>
    <t xml:space="preserve"> Add link to sheets or any hyper link from web</t>
  </si>
  <si>
    <t>We can insert pictures/shapes company logo, online pictures, or shapes avail in excel rectangle</t>
  </si>
  <si>
    <t>Shapes or pictures</t>
  </si>
  <si>
    <t>Adding Hyperlink</t>
  </si>
  <si>
    <t>Grade</t>
  </si>
  <si>
    <t>A</t>
  </si>
  <si>
    <t>B</t>
  </si>
  <si>
    <t>C</t>
  </si>
  <si>
    <t>Names</t>
  </si>
  <si>
    <t xml:space="preserve">Indu </t>
  </si>
  <si>
    <t xml:space="preserve">create table and select were data validation to be done, data validation-&gt;seetings-&gt;allow-&gt;list-&gt;add source </t>
  </si>
  <si>
    <t>Add drop down list-&gt; data validation</t>
  </si>
  <si>
    <t>Split or text to columns</t>
  </si>
  <si>
    <t>Arjun@mail.com</t>
  </si>
  <si>
    <t>Madhav@mail.com</t>
  </si>
  <si>
    <t>Vrinda@mail.com</t>
  </si>
  <si>
    <t>Indu@gmail.com</t>
  </si>
  <si>
    <t>Gopal@gmail.com</t>
  </si>
  <si>
    <t>Keshav@gmail.com</t>
  </si>
  <si>
    <t>champa@gmail.com</t>
  </si>
  <si>
    <t>Abhimayu@gmail.com</t>
  </si>
  <si>
    <t>Gopi@mail.com</t>
  </si>
  <si>
    <t>Sudevi@mail.com</t>
  </si>
  <si>
    <t>Vishaka@mail.com</t>
  </si>
  <si>
    <t>Hari@mail.com</t>
  </si>
  <si>
    <t>RNM@mail.com</t>
  </si>
  <si>
    <t>Lalita@mail.com</t>
  </si>
  <si>
    <t>Email</t>
  </si>
  <si>
    <t>mail.com</t>
  </si>
  <si>
    <t>gmail.com</t>
  </si>
  <si>
    <t>champa</t>
  </si>
  <si>
    <t>Abhimayu</t>
  </si>
  <si>
    <t>Vishaka</t>
  </si>
  <si>
    <t>Data -&gt;text to columns-&gt;delimited-&gt;others-&gt;@ separate by delimiter</t>
  </si>
  <si>
    <t>Charts in excel</t>
  </si>
  <si>
    <t>Recommended charts for an table, bar charts and formatting based on requirements</t>
  </si>
  <si>
    <t>Vertical look up used to search data from table array vertically one by one</t>
  </si>
  <si>
    <t>When to use pivot tables</t>
  </si>
  <si>
    <t>Grand Total</t>
  </si>
  <si>
    <t>Column Labels</t>
  </si>
  <si>
    <t>Average of Final Test</t>
  </si>
  <si>
    <t>Calculate average</t>
  </si>
  <si>
    <t>which home has highest scores</t>
  </si>
  <si>
    <t>Pivot table data summarization tool in excel.Data calculate,summarize, analyse in excel
used to find trend,pattern and compare data bw them, we can off the grand total sub total by -&gt;design-&gt;subtotals-&gt;remove</t>
  </si>
  <si>
    <t>Simple basics excel features covered</t>
  </si>
  <si>
    <t>Sort data on column -&gt; and add Conditional formatting-&gt;color scales</t>
  </si>
  <si>
    <t>Mean</t>
  </si>
  <si>
    <t>Median</t>
  </si>
  <si>
    <t>Mode</t>
  </si>
  <si>
    <t>SumProduct</t>
  </si>
  <si>
    <t>Agni</t>
  </si>
  <si>
    <t>Pruthvi</t>
  </si>
  <si>
    <t>Aayu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</si>
</sst>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2" x14ac:knownFonts="1">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8"/>
      <name val="Calibri"/>
      <family val="2"/>
      <scheme val="minor"/>
    </font>
    <font>
      <sz val="9"/>
      <color indexed="81"/>
      <name val="Tahoma"/>
      <family val="2"/>
    </font>
    <font>
      <b/>
      <sz val="9"/>
      <color indexed="81"/>
      <name val="Tahoma"/>
      <family val="2"/>
    </font>
    <font>
      <sz val="11"/>
      <name val="Calibri"/>
      <family val="2"/>
      <scheme val="minor"/>
    </font>
    <font>
      <b/>
      <sz val="16"/>
      <color theme="1"/>
      <name val="Calibri"/>
      <family val="2"/>
      <scheme val="minor"/>
    </font>
    <font>
      <b/>
      <sz val="11"/>
      <name val="Calibri"/>
      <family val="2"/>
      <scheme val="minor"/>
    </font>
    <font>
      <u/>
      <sz val="11"/>
      <color theme="10"/>
      <name val="Calibri"/>
      <family val="2"/>
      <scheme val="minor"/>
    </font>
  </fonts>
  <fills count="12">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1" fillId="0" borderId="0" applyNumberFormat="0" applyFill="0" applyBorder="0" applyAlignment="0" applyProtection="0"/>
  </cellStyleXfs>
  <cellXfs count="72">
    <xf numFmtId="0" fontId="0" fillId="0" borderId="0" xfId="0"/>
    <xf numFmtId="0" fontId="0" fillId="0" borderId="0" xfId="0" applyAlignment="1">
      <alignment horizontal="center" vertical="center"/>
    </xf>
    <xf numFmtId="0" fontId="1"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2" fontId="2" fillId="0" borderId="0" xfId="0" applyNumberFormat="1" applyFont="1" applyAlignment="1">
      <alignment horizontal="center" vertical="center"/>
    </xf>
    <xf numFmtId="0" fontId="1" fillId="0" borderId="0" xfId="0" applyFont="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pivotButton="1"/>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3" borderId="0" xfId="0" applyFont="1" applyFill="1"/>
    <xf numFmtId="164" fontId="0" fillId="0" borderId="1" xfId="0" applyNumberFormat="1" applyBorder="1" applyAlignment="1">
      <alignment horizontal="center" vertical="center"/>
    </xf>
    <xf numFmtId="0" fontId="0" fillId="0" borderId="1" xfId="0" applyBorder="1"/>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 fillId="0" borderId="0" xfId="0" applyFont="1" applyAlignment="1">
      <alignment horizont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8" borderId="1" xfId="0" applyFill="1" applyBorder="1" applyAlignment="1">
      <alignment horizontal="center" vertical="center"/>
    </xf>
    <xf numFmtId="165" fontId="0" fillId="0" borderId="1" xfId="0" applyNumberFormat="1" applyBorder="1" applyAlignment="1">
      <alignment horizontal="center" vertical="center"/>
    </xf>
    <xf numFmtId="165" fontId="1" fillId="0" borderId="1" xfId="0" applyNumberFormat="1" applyFont="1" applyBorder="1" applyAlignment="1">
      <alignment horizontal="center" vertical="center"/>
    </xf>
    <xf numFmtId="0" fontId="8" fillId="0" borderId="0" xfId="0" applyFont="1"/>
    <xf numFmtId="0" fontId="0" fillId="8" borderId="0" xfId="0" applyFill="1"/>
    <xf numFmtId="0" fontId="1" fillId="3" borderId="1" xfId="0" applyFont="1" applyFill="1" applyBorder="1" applyAlignment="1">
      <alignment horizontal="center" vertical="center"/>
    </xf>
    <xf numFmtId="165" fontId="1" fillId="0" borderId="0" xfId="0" applyNumberFormat="1" applyFont="1" applyAlignment="1">
      <alignment horizontal="center" vertical="center"/>
    </xf>
    <xf numFmtId="0" fontId="0" fillId="0" borderId="3" xfId="0" applyBorder="1" applyAlignment="1">
      <alignment horizontal="center" vertical="center"/>
    </xf>
    <xf numFmtId="0" fontId="1" fillId="4" borderId="1" xfId="0" applyFont="1" applyFill="1" applyBorder="1" applyAlignment="1">
      <alignment horizontal="center" vertical="center"/>
    </xf>
    <xf numFmtId="0" fontId="1"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8" fillId="8" borderId="3" xfId="0" applyFont="1" applyFill="1" applyBorder="1" applyAlignment="1">
      <alignment horizontal="center" vertical="center"/>
    </xf>
    <xf numFmtId="0" fontId="0" fillId="0" borderId="11" xfId="0" applyBorder="1" applyAlignment="1">
      <alignment horizontal="center" vertical="center"/>
    </xf>
    <xf numFmtId="0" fontId="10" fillId="4" borderId="7"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11" fillId="3" borderId="1" xfId="1" applyFill="1" applyBorder="1" applyAlignment="1">
      <alignment horizontal="center" vertical="center"/>
    </xf>
    <xf numFmtId="0" fontId="11" fillId="0" borderId="0" xfId="1"/>
    <xf numFmtId="0" fontId="1" fillId="3" borderId="0" xfId="0" applyFont="1" applyFill="1" applyAlignment="1">
      <alignment horizontal="center" vertical="center"/>
    </xf>
    <xf numFmtId="0" fontId="1" fillId="10" borderId="0" xfId="0" applyFont="1" applyFill="1" applyAlignment="1">
      <alignment horizontal="center" vertical="center"/>
    </xf>
    <xf numFmtId="0" fontId="1" fillId="10"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vertical="top"/>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top"/>
    </xf>
    <xf numFmtId="0" fontId="3" fillId="11" borderId="1" xfId="0" applyFont="1" applyFill="1" applyBorder="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1" fillId="8" borderId="1" xfId="0" applyFont="1" applyFill="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xf>
    <xf numFmtId="0" fontId="9" fillId="0" borderId="0" xfId="0" applyFont="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0" xfId="0" applyAlignment="1">
      <alignment horizontal="center"/>
    </xf>
    <xf numFmtId="0" fontId="1" fillId="0" borderId="2" xfId="0" applyFont="1" applyBorder="1" applyAlignment="1"/>
  </cellXfs>
  <cellStyles count="2">
    <cellStyle name="Hyperlink" xfId="1" builtinId="8"/>
    <cellStyle name="Normal" xfId="0" builtinId="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[Excel-Data-analyst-project1-github.xlsx]Vlookup!PivotTable64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and average representation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Vlookup!$H$24:$H$25</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Vlookup!$G$26:$G$27</c:f>
              <c:strCache>
                <c:ptCount val="2"/>
                <c:pt idx="0">
                  <c:v>average</c:v>
                </c:pt>
                <c:pt idx="1">
                  <c:v>topper</c:v>
                </c:pt>
              </c:strCache>
            </c:strRef>
          </c:cat>
          <c:val>
            <c:numRef>
              <c:f>Vlookup!$H$26:$H$27</c:f>
              <c:numCache>
                <c:formatCode>General</c:formatCode>
                <c:ptCount val="2"/>
                <c:pt idx="0">
                  <c:v>989</c:v>
                </c:pt>
                <c:pt idx="1">
                  <c:v>1096</c:v>
                </c:pt>
              </c:numCache>
            </c:numRef>
          </c:val>
          <c:extLst>
            <c:ext xmlns:c16="http://schemas.microsoft.com/office/drawing/2014/chart" uri="{C3380CC4-5D6E-409C-BE32-E72D297353CC}">
              <c16:uniqueId val="{00000000-CDEE-4D3F-B0ED-9896478EE905}"/>
            </c:ext>
          </c:extLst>
        </c:ser>
        <c:ser>
          <c:idx val="1"/>
          <c:order val="1"/>
          <c:tx>
            <c:strRef>
              <c:f>Vlookup!$I$24:$I$25</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Vlookup!$G$26:$G$27</c:f>
              <c:strCache>
                <c:ptCount val="2"/>
                <c:pt idx="0">
                  <c:v>average</c:v>
                </c:pt>
                <c:pt idx="1">
                  <c:v>topper</c:v>
                </c:pt>
              </c:strCache>
            </c:strRef>
          </c:cat>
          <c:val>
            <c:numRef>
              <c:f>Vlookup!$I$26:$I$27</c:f>
              <c:numCache>
                <c:formatCode>General</c:formatCode>
                <c:ptCount val="2"/>
                <c:pt idx="0">
                  <c:v>711</c:v>
                </c:pt>
                <c:pt idx="1">
                  <c:v>1062</c:v>
                </c:pt>
              </c:numCache>
            </c:numRef>
          </c:val>
          <c:extLst>
            <c:ext xmlns:c16="http://schemas.microsoft.com/office/drawing/2014/chart" uri="{C3380CC4-5D6E-409C-BE32-E72D297353CC}">
              <c16:uniqueId val="{00000001-CDEE-4D3F-B0ED-9896478EE905}"/>
            </c:ext>
          </c:extLst>
        </c:ser>
        <c:dLbls>
          <c:showLegendKey val="0"/>
          <c:showVal val="0"/>
          <c:showCatName val="0"/>
          <c:showSerName val="0"/>
          <c:showPercent val="0"/>
          <c:showBubbleSize val="0"/>
        </c:dLbls>
        <c:gapWidth val="219"/>
        <c:overlap val="-27"/>
        <c:axId val="1038813024"/>
        <c:axId val="1038815424"/>
      </c:barChart>
      <c:catAx>
        <c:axId val="10388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15424"/>
        <c:crosses val="autoZero"/>
        <c:auto val="1"/>
        <c:lblAlgn val="ctr"/>
        <c:lblOffset val="100"/>
        <c:noMultiLvlLbl val="0"/>
      </c:catAx>
      <c:valAx>
        <c:axId val="103881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8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'Main working sheet'!$C$250</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working sheet'!$B$251:$B$265</c:f>
              <c:strCache>
                <c:ptCount val="15"/>
                <c:pt idx="0">
                  <c:v>Abhimanyu</c:v>
                </c:pt>
                <c:pt idx="1">
                  <c:v>Arjun</c:v>
                </c:pt>
                <c:pt idx="2">
                  <c:v>Champa</c:v>
                </c:pt>
                <c:pt idx="3">
                  <c:v>Gopal</c:v>
                </c:pt>
                <c:pt idx="4">
                  <c:v>Gopi</c:v>
                </c:pt>
                <c:pt idx="5">
                  <c:v>Hari</c:v>
                </c:pt>
                <c:pt idx="6">
                  <c:v>Indu</c:v>
                </c:pt>
                <c:pt idx="7">
                  <c:v>Keshav</c:v>
                </c:pt>
                <c:pt idx="8">
                  <c:v>Lalita</c:v>
                </c:pt>
                <c:pt idx="9">
                  <c:v>Hari</c:v>
                </c:pt>
                <c:pt idx="10">
                  <c:v>Madhav</c:v>
                </c:pt>
                <c:pt idx="11">
                  <c:v>Sudevi</c:v>
                </c:pt>
                <c:pt idx="12">
                  <c:v>Vidya</c:v>
                </c:pt>
                <c:pt idx="13">
                  <c:v>Visakha</c:v>
                </c:pt>
                <c:pt idx="14">
                  <c:v>Vrinda</c:v>
                </c:pt>
              </c:strCache>
            </c:strRef>
          </c:cat>
          <c:val>
            <c:numRef>
              <c:f>'Main working sheet'!$C$251:$C$265</c:f>
              <c:numCache>
                <c:formatCode>General</c:formatCode>
                <c:ptCount val="15"/>
                <c:pt idx="0">
                  <c:v>81</c:v>
                </c:pt>
                <c:pt idx="1">
                  <c:v>91</c:v>
                </c:pt>
                <c:pt idx="2">
                  <c:v>88</c:v>
                </c:pt>
                <c:pt idx="3">
                  <c:v>79</c:v>
                </c:pt>
                <c:pt idx="4">
                  <c:v>96</c:v>
                </c:pt>
                <c:pt idx="5">
                  <c:v>80</c:v>
                </c:pt>
                <c:pt idx="6">
                  <c:v>89</c:v>
                </c:pt>
                <c:pt idx="7">
                  <c:v>96</c:v>
                </c:pt>
                <c:pt idx="8">
                  <c:v>92</c:v>
                </c:pt>
                <c:pt idx="9">
                  <c:v>95</c:v>
                </c:pt>
                <c:pt idx="10">
                  <c:v>89</c:v>
                </c:pt>
                <c:pt idx="11">
                  <c:v>87</c:v>
                </c:pt>
                <c:pt idx="12">
                  <c:v>92</c:v>
                </c:pt>
                <c:pt idx="13">
                  <c:v>85</c:v>
                </c:pt>
                <c:pt idx="14">
                  <c:v>98</c:v>
                </c:pt>
              </c:numCache>
            </c:numRef>
          </c:val>
          <c:extLst>
            <c:ext xmlns:c16="http://schemas.microsoft.com/office/drawing/2014/chart" uri="{C3380CC4-5D6E-409C-BE32-E72D297353CC}">
              <c16:uniqueId val="{00000000-2F10-48D8-9DE7-2CA2BE4B60EF}"/>
            </c:ext>
          </c:extLst>
        </c:ser>
        <c:dLbls>
          <c:showLegendKey val="0"/>
          <c:showVal val="0"/>
          <c:showCatName val="0"/>
          <c:showSerName val="0"/>
          <c:showPercent val="0"/>
          <c:showBubbleSize val="0"/>
        </c:dLbls>
        <c:gapWidth val="219"/>
        <c:overlap val="-27"/>
        <c:axId val="461958512"/>
        <c:axId val="461955152"/>
      </c:barChart>
      <c:catAx>
        <c:axId val="46195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a:t>
                </a:r>
                <a:r>
                  <a:rPr lang="en-IN" baseline="0"/>
                  <a:t> names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55152"/>
        <c:crosses val="autoZero"/>
        <c:auto val="1"/>
        <c:lblAlgn val="ctr"/>
        <c:lblOffset val="100"/>
        <c:noMultiLvlLbl val="0"/>
      </c:catAx>
      <c:valAx>
        <c:axId val="4619551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5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38099</xdr:colOff>
      <xdr:row>0</xdr:row>
      <xdr:rowOff>66675</xdr:rowOff>
    </xdr:from>
    <xdr:to>
      <xdr:col>5</xdr:col>
      <xdr:colOff>1038225</xdr:colOff>
      <xdr:row>4</xdr:row>
      <xdr:rowOff>0</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737D9A16-6740-CF5F-3938-D7E6206488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099" y="66675"/>
              <a:ext cx="5248276" cy="6953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10</xdr:col>
      <xdr:colOff>0</xdr:colOff>
      <xdr:row>23</xdr:row>
      <xdr:rowOff>0</xdr:rowOff>
    </xdr:from>
    <xdr:to>
      <xdr:col>15</xdr:col>
      <xdr:colOff>400050</xdr:colOff>
      <xdr:row>37</xdr:row>
      <xdr:rowOff>38100</xdr:rowOff>
    </xdr:to>
    <xdr:graphicFrame macro="">
      <xdr:nvGraphicFramePr>
        <xdr:cNvPr id="3" name="Chart 2">
          <a:extLst>
            <a:ext uri="{FF2B5EF4-FFF2-40B4-BE49-F238E27FC236}">
              <a16:creationId xmlns:a16="http://schemas.microsoft.com/office/drawing/2014/main" id="{22435DF9-F77D-4538-8DE1-5B11BA291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139130</xdr:colOff>
      <xdr:row>122</xdr:row>
      <xdr:rowOff>53511</xdr:rowOff>
    </xdr:from>
    <xdr:to>
      <xdr:col>20</xdr:col>
      <xdr:colOff>492192</xdr:colOff>
      <xdr:row>143</xdr:row>
      <xdr:rowOff>104384</xdr:rowOff>
    </xdr:to>
    <xdr:pic>
      <xdr:nvPicPr>
        <xdr:cNvPr id="3" name="Picture 2">
          <a:extLst>
            <a:ext uri="{FF2B5EF4-FFF2-40B4-BE49-F238E27FC236}">
              <a16:creationId xmlns:a16="http://schemas.microsoft.com/office/drawing/2014/main" id="{342FD814-F605-94FA-07B6-8B456BF63A4A}"/>
            </a:ext>
          </a:extLst>
        </xdr:cNvPr>
        <xdr:cNvPicPr>
          <a:picLocks noChangeAspect="1"/>
        </xdr:cNvPicPr>
      </xdr:nvPicPr>
      <xdr:blipFill>
        <a:blip xmlns:r="http://schemas.openxmlformats.org/officeDocument/2006/relationships" r:embed="rId1"/>
        <a:stretch>
          <a:fillRect/>
        </a:stretch>
      </xdr:blipFill>
      <xdr:spPr>
        <a:xfrm>
          <a:off x="6421349" y="23726882"/>
          <a:ext cx="7630590" cy="4096322"/>
        </a:xfrm>
        <a:prstGeom prst="rect">
          <a:avLst/>
        </a:prstGeom>
      </xdr:spPr>
    </xdr:pic>
    <xdr:clientData/>
  </xdr:twoCellAnchor>
  <xdr:twoCellAnchor editAs="absolute">
    <xdr:from>
      <xdr:col>8</xdr:col>
      <xdr:colOff>608443</xdr:colOff>
      <xdr:row>173</xdr:row>
      <xdr:rowOff>51799</xdr:rowOff>
    </xdr:from>
    <xdr:to>
      <xdr:col>10</xdr:col>
      <xdr:colOff>649968</xdr:colOff>
      <xdr:row>178</xdr:row>
      <xdr:rowOff>74917</xdr:rowOff>
    </xdr:to>
    <mc:AlternateContent xmlns:mc="http://schemas.openxmlformats.org/markup-compatibility/2006" xmlns:sle15="http://schemas.microsoft.com/office/drawing/2012/slicer">
      <mc:Choice Requires="sle15">
        <xdr:graphicFrame macro="">
          <xdr:nvGraphicFramePr>
            <xdr:cNvPr id="4" name="Gender 1">
              <a:extLst>
                <a:ext uri="{FF2B5EF4-FFF2-40B4-BE49-F238E27FC236}">
                  <a16:creationId xmlns:a16="http://schemas.microsoft.com/office/drawing/2014/main" id="{4F33DBB5-CB4D-3712-BC5E-CAD22B10952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00994" y="33836391"/>
              <a:ext cx="1829892" cy="99505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414491</xdr:colOff>
      <xdr:row>173</xdr:row>
      <xdr:rowOff>3639</xdr:rowOff>
    </xdr:from>
    <xdr:to>
      <xdr:col>14</xdr:col>
      <xdr:colOff>413207</xdr:colOff>
      <xdr:row>180</xdr:row>
      <xdr:rowOff>117725</xdr:rowOff>
    </xdr:to>
    <mc:AlternateContent xmlns:mc="http://schemas.openxmlformats.org/markup-compatibility/2006" xmlns:sle15="http://schemas.microsoft.com/office/drawing/2012/slicer">
      <mc:Choice Requires="sle15">
        <xdr:graphicFrame macro="">
          <xdr:nvGraphicFramePr>
            <xdr:cNvPr id="5" name="Home">
              <a:extLst>
                <a:ext uri="{FF2B5EF4-FFF2-40B4-BE49-F238E27FC236}">
                  <a16:creationId xmlns:a16="http://schemas.microsoft.com/office/drawing/2014/main" id="{686C4FFD-F52D-3F19-5111-88C74D543CAD}"/>
                </a:ext>
              </a:extLst>
            </xdr:cNvPr>
            <xdr:cNvGraphicFramePr/>
          </xdr:nvGraphicFramePr>
          <xdr:xfrm>
            <a:off x="0" y="0"/>
            <a:ext cx="0" cy="0"/>
          </xdr:xfrm>
          <a:graphic>
            <a:graphicData uri="http://schemas.microsoft.com/office/drawing/2010/slicer">
              <sle:slicer xmlns:sle="http://schemas.microsoft.com/office/drawing/2010/slicer" name="Home"/>
            </a:graphicData>
          </a:graphic>
        </xdr:graphicFrame>
      </mc:Choice>
      <mc:Fallback xmlns="">
        <xdr:sp macro="" textlink="">
          <xdr:nvSpPr>
            <xdr:cNvPr id="0" name=""/>
            <xdr:cNvSpPr>
              <a:spLocks noTextEdit="1"/>
            </xdr:cNvSpPr>
          </xdr:nvSpPr>
          <xdr:spPr>
            <a:xfrm>
              <a:off x="9453522" y="33788231"/>
              <a:ext cx="1835680" cy="1474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524410</xdr:colOff>
      <xdr:row>192</xdr:row>
      <xdr:rowOff>139130</xdr:rowOff>
    </xdr:from>
    <xdr:to>
      <xdr:col>3</xdr:col>
      <xdr:colOff>1048820</xdr:colOff>
      <xdr:row>196</xdr:row>
      <xdr:rowOff>10703</xdr:rowOff>
    </xdr:to>
    <xdr:sp macro="" textlink="">
      <xdr:nvSpPr>
        <xdr:cNvPr id="6" name="Oval 5">
          <a:extLst>
            <a:ext uri="{FF2B5EF4-FFF2-40B4-BE49-F238E27FC236}">
              <a16:creationId xmlns:a16="http://schemas.microsoft.com/office/drawing/2014/main" id="{85B51D57-8301-DFFA-5868-3F5B127CC099}"/>
            </a:ext>
          </a:extLst>
        </xdr:cNvPr>
        <xdr:cNvSpPr/>
      </xdr:nvSpPr>
      <xdr:spPr>
        <a:xfrm>
          <a:off x="1583932" y="37297332"/>
          <a:ext cx="1252163" cy="64213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a:t>
          </a:r>
          <a:br>
            <a:rPr lang="en-IN" sz="1100"/>
          </a:br>
          <a:r>
            <a:rPr lang="en-IN" sz="1100"/>
            <a:t>_ID</a:t>
          </a:r>
        </a:p>
      </xdr:txBody>
    </xdr:sp>
    <xdr:clientData/>
  </xdr:twoCellAnchor>
  <xdr:twoCellAnchor>
    <xdr:from>
      <xdr:col>4</xdr:col>
      <xdr:colOff>117724</xdr:colOff>
      <xdr:row>199</xdr:row>
      <xdr:rowOff>160535</xdr:rowOff>
    </xdr:from>
    <xdr:to>
      <xdr:col>6</xdr:col>
      <xdr:colOff>738455</xdr:colOff>
      <xdr:row>201</xdr:row>
      <xdr:rowOff>107024</xdr:rowOff>
    </xdr:to>
    <xdr:sp macro="" textlink="">
      <xdr:nvSpPr>
        <xdr:cNvPr id="7" name="Rectangle 6">
          <a:extLst>
            <a:ext uri="{FF2B5EF4-FFF2-40B4-BE49-F238E27FC236}">
              <a16:creationId xmlns:a16="http://schemas.microsoft.com/office/drawing/2014/main" id="{5E84A162-1BBE-6A6F-6F33-497C1D43586D}"/>
            </a:ext>
          </a:extLst>
        </xdr:cNvPr>
        <xdr:cNvSpPr/>
      </xdr:nvSpPr>
      <xdr:spPr>
        <a:xfrm>
          <a:off x="3103651" y="38667220"/>
          <a:ext cx="2054832" cy="3317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a:t>
          </a:r>
        </a:p>
      </xdr:txBody>
    </xdr:sp>
    <xdr:clientData/>
  </xdr:twoCellAnchor>
  <xdr:twoCellAnchor>
    <xdr:from>
      <xdr:col>4</xdr:col>
      <xdr:colOff>64214</xdr:colOff>
      <xdr:row>190</xdr:row>
      <xdr:rowOff>107023</xdr:rowOff>
    </xdr:from>
    <xdr:to>
      <xdr:col>6</xdr:col>
      <xdr:colOff>235450</xdr:colOff>
      <xdr:row>193</xdr:row>
      <xdr:rowOff>171236</xdr:rowOff>
    </xdr:to>
    <xdr:sp macro="" textlink="">
      <xdr:nvSpPr>
        <xdr:cNvPr id="8" name="Oval 7">
          <a:extLst>
            <a:ext uri="{FF2B5EF4-FFF2-40B4-BE49-F238E27FC236}">
              <a16:creationId xmlns:a16="http://schemas.microsoft.com/office/drawing/2014/main" id="{2867B7C3-6ACD-F3CC-C918-F06734104A36}"/>
            </a:ext>
          </a:extLst>
        </xdr:cNvPr>
        <xdr:cNvSpPr/>
      </xdr:nvSpPr>
      <xdr:spPr>
        <a:xfrm>
          <a:off x="3050141" y="36879944"/>
          <a:ext cx="1605337" cy="64213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Employee_name</a:t>
          </a:r>
        </a:p>
      </xdr:txBody>
    </xdr:sp>
    <xdr:clientData/>
  </xdr:twoCellAnchor>
  <xdr:twoCellAnchor>
    <xdr:from>
      <xdr:col>6</xdr:col>
      <xdr:colOff>417387</xdr:colOff>
      <xdr:row>190</xdr:row>
      <xdr:rowOff>107023</xdr:rowOff>
    </xdr:from>
    <xdr:to>
      <xdr:col>7</xdr:col>
      <xdr:colOff>813370</xdr:colOff>
      <xdr:row>194</xdr:row>
      <xdr:rowOff>10703</xdr:rowOff>
    </xdr:to>
    <xdr:sp macro="" textlink="">
      <xdr:nvSpPr>
        <xdr:cNvPr id="9" name="Oval 8">
          <a:extLst>
            <a:ext uri="{FF2B5EF4-FFF2-40B4-BE49-F238E27FC236}">
              <a16:creationId xmlns:a16="http://schemas.microsoft.com/office/drawing/2014/main" id="{FD4273B2-1F96-7D3E-8690-AA3F91710BC5}"/>
            </a:ext>
          </a:extLst>
        </xdr:cNvPr>
        <xdr:cNvSpPr/>
      </xdr:nvSpPr>
      <xdr:spPr>
        <a:xfrm>
          <a:off x="4837415" y="36879944"/>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salary</a:t>
          </a:r>
        </a:p>
      </xdr:txBody>
    </xdr:sp>
    <xdr:clientData/>
  </xdr:twoCellAnchor>
  <xdr:twoCellAnchor>
    <xdr:from>
      <xdr:col>0</xdr:col>
      <xdr:colOff>280827</xdr:colOff>
      <xdr:row>194</xdr:row>
      <xdr:rowOff>66782</xdr:rowOff>
    </xdr:from>
    <xdr:to>
      <xdr:col>2</xdr:col>
      <xdr:colOff>462766</xdr:colOff>
      <xdr:row>197</xdr:row>
      <xdr:rowOff>163103</xdr:rowOff>
    </xdr:to>
    <xdr:sp macro="" textlink="">
      <xdr:nvSpPr>
        <xdr:cNvPr id="10" name="Oval 9">
          <a:extLst>
            <a:ext uri="{FF2B5EF4-FFF2-40B4-BE49-F238E27FC236}">
              <a16:creationId xmlns:a16="http://schemas.microsoft.com/office/drawing/2014/main" id="{A4C4F66C-6954-45B2-900E-9EC241A3BCEE}"/>
            </a:ext>
          </a:extLst>
        </xdr:cNvPr>
        <xdr:cNvSpPr/>
      </xdr:nvSpPr>
      <xdr:spPr>
        <a:xfrm>
          <a:off x="280827" y="37610265"/>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DOJ</a:t>
          </a:r>
        </a:p>
        <a:p>
          <a:pPr algn="l"/>
          <a:endParaRPr lang="en-IN" sz="1100"/>
        </a:p>
      </xdr:txBody>
    </xdr:sp>
    <xdr:clientData/>
  </xdr:twoCellAnchor>
  <xdr:twoCellAnchor>
    <xdr:from>
      <xdr:col>7</xdr:col>
      <xdr:colOff>513707</xdr:colOff>
      <xdr:row>194</xdr:row>
      <xdr:rowOff>53512</xdr:rowOff>
    </xdr:from>
    <xdr:to>
      <xdr:col>9</xdr:col>
      <xdr:colOff>149831</xdr:colOff>
      <xdr:row>197</xdr:row>
      <xdr:rowOff>149833</xdr:rowOff>
    </xdr:to>
    <xdr:sp macro="" textlink="">
      <xdr:nvSpPr>
        <xdr:cNvPr id="11" name="Oval 10">
          <a:extLst>
            <a:ext uri="{FF2B5EF4-FFF2-40B4-BE49-F238E27FC236}">
              <a16:creationId xmlns:a16="http://schemas.microsoft.com/office/drawing/2014/main" id="{965B7DFC-F593-4E5F-9AA1-08EB55402788}"/>
            </a:ext>
          </a:extLst>
        </xdr:cNvPr>
        <xdr:cNvSpPr/>
      </xdr:nvSpPr>
      <xdr:spPr>
        <a:xfrm>
          <a:off x="5779213" y="37596995"/>
          <a:ext cx="1241461" cy="67424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Department</a:t>
          </a:r>
        </a:p>
      </xdr:txBody>
    </xdr:sp>
    <xdr:clientData/>
  </xdr:twoCellAnchor>
  <xdr:twoCellAnchor>
    <xdr:from>
      <xdr:col>2</xdr:col>
      <xdr:colOff>449495</xdr:colOff>
      <xdr:row>197</xdr:row>
      <xdr:rowOff>21405</xdr:rowOff>
    </xdr:from>
    <xdr:to>
      <xdr:col>4</xdr:col>
      <xdr:colOff>802668</xdr:colOff>
      <xdr:row>199</xdr:row>
      <xdr:rowOff>171236</xdr:rowOff>
    </xdr:to>
    <xdr:cxnSp macro="">
      <xdr:nvCxnSpPr>
        <xdr:cNvPr id="13" name="Straight Arrow Connector 12">
          <a:extLst>
            <a:ext uri="{FF2B5EF4-FFF2-40B4-BE49-F238E27FC236}">
              <a16:creationId xmlns:a16="http://schemas.microsoft.com/office/drawing/2014/main" id="{07CF3732-C6BB-2FB8-3AAE-0BC899EF7648}"/>
            </a:ext>
          </a:extLst>
        </xdr:cNvPr>
        <xdr:cNvCxnSpPr/>
      </xdr:nvCxnSpPr>
      <xdr:spPr>
        <a:xfrm>
          <a:off x="1509017" y="38142809"/>
          <a:ext cx="2279578" cy="5351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674242</xdr:colOff>
      <xdr:row>195</xdr:row>
      <xdr:rowOff>160533</xdr:rowOff>
    </xdr:from>
    <xdr:to>
      <xdr:col>5</xdr:col>
      <xdr:colOff>321067</xdr:colOff>
      <xdr:row>199</xdr:row>
      <xdr:rowOff>160535</xdr:rowOff>
    </xdr:to>
    <xdr:cxnSp macro="">
      <xdr:nvCxnSpPr>
        <xdr:cNvPr id="14" name="Straight Arrow Connector 13">
          <a:extLst>
            <a:ext uri="{FF2B5EF4-FFF2-40B4-BE49-F238E27FC236}">
              <a16:creationId xmlns:a16="http://schemas.microsoft.com/office/drawing/2014/main" id="{4B08712A-2E9A-4166-84CE-F57E0905EFEF}"/>
            </a:ext>
          </a:extLst>
        </xdr:cNvPr>
        <xdr:cNvCxnSpPr>
          <a:endCxn id="7" idx="0"/>
        </xdr:cNvCxnSpPr>
      </xdr:nvCxnSpPr>
      <xdr:spPr>
        <a:xfrm>
          <a:off x="2461517" y="37896657"/>
          <a:ext cx="1669550" cy="7705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42810</xdr:colOff>
      <xdr:row>193</xdr:row>
      <xdr:rowOff>171236</xdr:rowOff>
    </xdr:from>
    <xdr:to>
      <xdr:col>6</xdr:col>
      <xdr:colOff>42809</xdr:colOff>
      <xdr:row>199</xdr:row>
      <xdr:rowOff>181939</xdr:rowOff>
    </xdr:to>
    <xdr:cxnSp macro="">
      <xdr:nvCxnSpPr>
        <xdr:cNvPr id="16" name="Straight Arrow Connector 15">
          <a:extLst>
            <a:ext uri="{FF2B5EF4-FFF2-40B4-BE49-F238E27FC236}">
              <a16:creationId xmlns:a16="http://schemas.microsoft.com/office/drawing/2014/main" id="{9F4572BB-5717-4D02-BFE4-3D26B65209AC}"/>
            </a:ext>
          </a:extLst>
        </xdr:cNvPr>
        <xdr:cNvCxnSpPr>
          <a:stCxn id="8" idx="4"/>
        </xdr:cNvCxnSpPr>
      </xdr:nvCxnSpPr>
      <xdr:spPr>
        <a:xfrm>
          <a:off x="3852810" y="37522079"/>
          <a:ext cx="610027" cy="11665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214045</xdr:colOff>
      <xdr:row>193</xdr:row>
      <xdr:rowOff>104603</xdr:rowOff>
    </xdr:from>
    <xdr:to>
      <xdr:col>6</xdr:col>
      <xdr:colOff>599195</xdr:colOff>
      <xdr:row>199</xdr:row>
      <xdr:rowOff>160534</xdr:rowOff>
    </xdr:to>
    <xdr:cxnSp macro="">
      <xdr:nvCxnSpPr>
        <xdr:cNvPr id="19" name="Straight Arrow Connector 18">
          <a:extLst>
            <a:ext uri="{FF2B5EF4-FFF2-40B4-BE49-F238E27FC236}">
              <a16:creationId xmlns:a16="http://schemas.microsoft.com/office/drawing/2014/main" id="{6A49DED4-E109-4B08-B0E7-2E95C165DF6E}"/>
            </a:ext>
          </a:extLst>
        </xdr:cNvPr>
        <xdr:cNvCxnSpPr>
          <a:stCxn id="9" idx="3"/>
        </xdr:cNvCxnSpPr>
      </xdr:nvCxnSpPr>
      <xdr:spPr>
        <a:xfrm flipH="1">
          <a:off x="4634073" y="37455446"/>
          <a:ext cx="385150" cy="12117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342472</xdr:colOff>
      <xdr:row>196</xdr:row>
      <xdr:rowOff>5352</xdr:rowOff>
    </xdr:from>
    <xdr:to>
      <xdr:col>7</xdr:col>
      <xdr:colOff>513707</xdr:colOff>
      <xdr:row>200</xdr:row>
      <xdr:rowOff>0</xdr:rowOff>
    </xdr:to>
    <xdr:cxnSp macro="">
      <xdr:nvCxnSpPr>
        <xdr:cNvPr id="22" name="Straight Arrow Connector 21">
          <a:extLst>
            <a:ext uri="{FF2B5EF4-FFF2-40B4-BE49-F238E27FC236}">
              <a16:creationId xmlns:a16="http://schemas.microsoft.com/office/drawing/2014/main" id="{0E1CA06F-12A1-4DE3-9B01-0D30B14A1E0B}"/>
            </a:ext>
          </a:extLst>
        </xdr:cNvPr>
        <xdr:cNvCxnSpPr>
          <a:stCxn id="11" idx="2"/>
        </xdr:cNvCxnSpPr>
      </xdr:nvCxnSpPr>
      <xdr:spPr>
        <a:xfrm flipH="1">
          <a:off x="4762500" y="37934116"/>
          <a:ext cx="1016713" cy="7652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742735</xdr:colOff>
      <xdr:row>248</xdr:row>
      <xdr:rowOff>94608</xdr:rowOff>
    </xdr:from>
    <xdr:to>
      <xdr:col>12</xdr:col>
      <xdr:colOff>85618</xdr:colOff>
      <xdr:row>264</xdr:row>
      <xdr:rowOff>181938</xdr:rowOff>
    </xdr:to>
    <xdr:graphicFrame macro="">
      <xdr:nvGraphicFramePr>
        <xdr:cNvPr id="26" name="Chart 25">
          <a:extLst>
            <a:ext uri="{FF2B5EF4-FFF2-40B4-BE49-F238E27FC236}">
              <a16:creationId xmlns:a16="http://schemas.microsoft.com/office/drawing/2014/main" id="{2FC764DF-0675-B24D-5C0A-152FBBE34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278257</xdr:colOff>
      <xdr:row>302</xdr:row>
      <xdr:rowOff>117724</xdr:rowOff>
    </xdr:from>
    <xdr:to>
      <xdr:col>8</xdr:col>
      <xdr:colOff>0</xdr:colOff>
      <xdr:row>304</xdr:row>
      <xdr:rowOff>160533</xdr:rowOff>
    </xdr:to>
    <xdr:sp macro="" textlink="">
      <xdr:nvSpPr>
        <xdr:cNvPr id="27" name="Rectangle 26">
          <a:extLst>
            <a:ext uri="{FF2B5EF4-FFF2-40B4-BE49-F238E27FC236}">
              <a16:creationId xmlns:a16="http://schemas.microsoft.com/office/drawing/2014/main" id="{F0254617-3924-04A2-457E-E6F4DB316D01}"/>
            </a:ext>
          </a:extLst>
        </xdr:cNvPr>
        <xdr:cNvSpPr/>
      </xdr:nvSpPr>
      <xdr:spPr>
        <a:xfrm>
          <a:off x="278257" y="58466376"/>
          <a:ext cx="5383232" cy="4280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Who</a:t>
          </a:r>
          <a:r>
            <a:rPr lang="en-IN" sz="1400" b="1" baseline="0"/>
            <a:t> scored more in final test ? Male or female</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Patange" refreshedDate="46149.700855902774" createdVersion="8" refreshedVersion="8" minRefreshableVersion="3" recordCount="15" xr:uid="{63C16910-58BE-49E3-9018-91F7ADC8AABC}">
  <cacheSource type="worksheet">
    <worksheetSource name="Table1"/>
  </cacheSource>
  <cacheFields count="12">
    <cacheField name="First name" numFmtId="0">
      <sharedItems/>
    </cacheField>
    <cacheField name="Last name" numFmtId="0">
      <sharedItems/>
    </cacheField>
    <cacheField name="Gender" numFmtId="0">
      <sharedItems count="2">
        <s v="F"/>
        <s v="M"/>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9" maxValue="98"/>
    </cacheField>
    <cacheField name="SUM" numFmtId="0">
      <sharedItems containsSemiMixedTypes="0" containsString="0" containsNumber="1" containsInteger="1" minValue="224" maxValue="285"/>
    </cacheField>
    <cacheField name="AVG" numFmtId="2">
      <sharedItems containsSemiMixedTypes="0" containsString="0" containsNumber="1" minValue="74.666666666666671" maxValue="95"/>
    </cacheField>
    <cacheField name="CONCATENATE" numFmtId="0">
      <sharedItems/>
    </cacheField>
    <cacheField name="Rankings" numFmtId="0">
      <sharedItems count="2">
        <s v="topper"/>
        <s v="averag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li Patange" refreshedDate="46149.700856249998" createdVersion="8" refreshedVersion="8" minRefreshableVersion="3" recordCount="15" xr:uid="{35A196D7-D0BC-45B7-BBDB-C2AFCD72F058}">
  <cacheSource type="worksheet">
    <worksheetSource ref="B287:I302" sheet="Main working sheet"/>
  </cacheSource>
  <cacheFields count="8">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me" numFmtId="0">
      <sharedItems count="4">
        <s v="Bhumi"/>
        <s v="agni"/>
        <s v="aayu"/>
        <s v="pruthvi"/>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9" maxValue="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Vrinda"/>
    <s v="sharma"/>
    <x v="0"/>
    <n v="14"/>
    <n v="8"/>
    <n v="91"/>
    <n v="96"/>
    <n v="98"/>
    <n v="285"/>
    <n v="95"/>
    <s v="Vrinda  sharma"/>
    <x v="0"/>
  </r>
  <r>
    <s v="Gopi"/>
    <s v="Kumar"/>
    <x v="0"/>
    <n v="16"/>
    <n v="10"/>
    <n v="88"/>
    <n v="92"/>
    <n v="96"/>
    <n v="276"/>
    <n v="92"/>
    <s v="Gopi  Kumar"/>
    <x v="0"/>
  </r>
  <r>
    <s v="Keshav"/>
    <s v="Kulkarni"/>
    <x v="1"/>
    <n v="15"/>
    <n v="9"/>
    <n v="87"/>
    <n v="89"/>
    <n v="96"/>
    <n v="272"/>
    <n v="90.666666666666671"/>
    <s v="Keshav  Kulkarni"/>
    <x v="0"/>
  </r>
  <r>
    <s v="Vidya"/>
    <s v="verma"/>
    <x v="0"/>
    <n v="11"/>
    <n v="6"/>
    <n v="88"/>
    <n v="90"/>
    <n v="92"/>
    <n v="270"/>
    <n v="90"/>
    <s v="Vidya  verma"/>
    <x v="0"/>
  </r>
  <r>
    <s v="Hari"/>
    <s v="Parasad"/>
    <x v="1"/>
    <n v="11"/>
    <n v="6"/>
    <n v="91"/>
    <n v="81"/>
    <n v="95"/>
    <n v="267"/>
    <n v="89"/>
    <s v="Hari  Parasad"/>
    <x v="0"/>
  </r>
  <r>
    <s v="Madhav"/>
    <s v="srivastav"/>
    <x v="1"/>
    <n v="12"/>
    <n v="7"/>
    <n v="86"/>
    <n v="92"/>
    <n v="89"/>
    <n v="267"/>
    <n v="89"/>
    <s v="Madhav  srivastav"/>
    <x v="0"/>
  </r>
  <r>
    <s v="Indu"/>
    <s v="kumari"/>
    <x v="0"/>
    <n v="14"/>
    <n v="8"/>
    <n v="90"/>
    <n v="86"/>
    <n v="89"/>
    <n v="265"/>
    <n v="88.333333333333329"/>
    <s v="Indu  kumari"/>
    <x v="0"/>
  </r>
  <r>
    <s v="Arjun"/>
    <s v="Gupta"/>
    <x v="1"/>
    <n v="11"/>
    <n v="5"/>
    <n v="82"/>
    <n v="83"/>
    <n v="91"/>
    <n v="256"/>
    <n v="85.333333333333329"/>
    <s v="Arjun  Gupta"/>
    <x v="0"/>
  </r>
  <r>
    <s v="Lalita"/>
    <s v="chauhan"/>
    <x v="0"/>
    <n v="17"/>
    <n v="10"/>
    <n v="70"/>
    <n v="90"/>
    <n v="92"/>
    <n v="252"/>
    <n v="84"/>
    <s v="Lalita  chauhan"/>
    <x v="1"/>
  </r>
  <r>
    <s v="Sudevi"/>
    <s v="sharma"/>
    <x v="0"/>
    <n v="16"/>
    <n v="10"/>
    <n v="81"/>
    <n v="80"/>
    <n v="87"/>
    <n v="248"/>
    <n v="82.666666666666671"/>
    <s v="Sudevi  sharma"/>
    <x v="1"/>
  </r>
  <r>
    <s v="Champa"/>
    <s v="reddy"/>
    <x v="0"/>
    <n v="15"/>
    <n v="8"/>
    <n v="81"/>
    <n v="78"/>
    <n v="88"/>
    <n v="247"/>
    <n v="82.333333333333329"/>
    <s v="Champa  reddy"/>
    <x v="1"/>
  </r>
  <r>
    <s v="Abhimanyu"/>
    <s v="Shastry"/>
    <x v="1"/>
    <n v="16"/>
    <n v="10"/>
    <n v="84"/>
    <n v="79"/>
    <n v="81"/>
    <n v="244"/>
    <n v="81.333333333333329"/>
    <s v="Abhimanyu  Shastry"/>
    <x v="1"/>
  </r>
  <r>
    <s v="Hari"/>
    <s v="Tandon"/>
    <x v="1"/>
    <n v="16"/>
    <n v="10"/>
    <n v="82"/>
    <n v="81"/>
    <n v="80"/>
    <n v="243"/>
    <n v="81"/>
    <s v="Hari  Tandon"/>
    <x v="1"/>
  </r>
  <r>
    <s v="Visakha"/>
    <s v="Gupta"/>
    <x v="0"/>
    <n v="16"/>
    <n v="10"/>
    <n v="70"/>
    <n v="87"/>
    <n v="85"/>
    <n v="242"/>
    <n v="80.666666666666671"/>
    <s v="Visakha  Gupta"/>
    <x v="1"/>
  </r>
  <r>
    <s v="Gopal"/>
    <s v="verma"/>
    <x v="1"/>
    <n v="14"/>
    <n v="8"/>
    <n v="70"/>
    <n v="75"/>
    <n v="79"/>
    <n v="224"/>
    <n v="74.666666666666671"/>
    <s v="Gopal  verma"/>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Abhimanyu"/>
    <x v="0"/>
    <n v="16"/>
    <n v="10"/>
    <x v="0"/>
    <n v="84"/>
    <n v="79"/>
    <n v="81"/>
  </r>
  <r>
    <s v="Arjun"/>
    <x v="0"/>
    <n v="11"/>
    <n v="5"/>
    <x v="1"/>
    <n v="82"/>
    <n v="83"/>
    <n v="91"/>
  </r>
  <r>
    <s v="Champa"/>
    <x v="1"/>
    <n v="15"/>
    <n v="8"/>
    <x v="2"/>
    <n v="81"/>
    <n v="78"/>
    <n v="88"/>
  </r>
  <r>
    <s v="Gopal"/>
    <x v="0"/>
    <n v="14"/>
    <n v="8"/>
    <x v="3"/>
    <n v="70"/>
    <n v="75"/>
    <n v="79"/>
  </r>
  <r>
    <s v="Gopi"/>
    <x v="1"/>
    <n v="16"/>
    <n v="10"/>
    <x v="3"/>
    <n v="88"/>
    <n v="92"/>
    <n v="96"/>
  </r>
  <r>
    <s v="Hari"/>
    <x v="0"/>
    <n v="16"/>
    <n v="10"/>
    <x v="2"/>
    <n v="82"/>
    <n v="81"/>
    <n v="80"/>
  </r>
  <r>
    <s v="Indu"/>
    <x v="1"/>
    <n v="14"/>
    <n v="8"/>
    <x v="1"/>
    <n v="90"/>
    <n v="86"/>
    <n v="89"/>
  </r>
  <r>
    <s v="Keshav"/>
    <x v="0"/>
    <n v="15"/>
    <n v="9"/>
    <x v="1"/>
    <n v="87"/>
    <n v="89"/>
    <n v="96"/>
  </r>
  <r>
    <s v="Lalita"/>
    <x v="1"/>
    <n v="17"/>
    <n v="10"/>
    <x v="2"/>
    <n v="70"/>
    <n v="90"/>
    <n v="92"/>
  </r>
  <r>
    <s v="Hari"/>
    <x v="0"/>
    <n v="11"/>
    <n v="6"/>
    <x v="0"/>
    <n v="91"/>
    <n v="81"/>
    <n v="95"/>
  </r>
  <r>
    <s v="Madhav"/>
    <x v="0"/>
    <n v="12"/>
    <n v="7"/>
    <x v="0"/>
    <n v="86"/>
    <n v="92"/>
    <n v="89"/>
  </r>
  <r>
    <s v="Sudevi"/>
    <x v="1"/>
    <n v="16"/>
    <n v="10"/>
    <x v="0"/>
    <n v="81"/>
    <n v="80"/>
    <n v="87"/>
  </r>
  <r>
    <s v="Vidya"/>
    <x v="1"/>
    <n v="11"/>
    <n v="6"/>
    <x v="2"/>
    <n v="88"/>
    <n v="90"/>
    <n v="92"/>
  </r>
  <r>
    <s v="Visakha"/>
    <x v="1"/>
    <n v="16"/>
    <n v="10"/>
    <x v="2"/>
    <n v="70"/>
    <n v="87"/>
    <n v="85"/>
  </r>
  <r>
    <s v="Vrinda"/>
    <x v="1"/>
    <n v="14"/>
    <n v="8"/>
    <x v="3"/>
    <n v="91"/>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F64DBD-8DD3-4598-87B9-7379CE8D1E6B}" name="PivotTable6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G24:I27" firstHeaderRow="1" firstDataRow="2" firstDataCol="1"/>
  <pivotFields count="1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s>
  <rowFields count="1">
    <field x="11"/>
  </rowFields>
  <rowItems count="2">
    <i>
      <x/>
    </i>
    <i>
      <x v="1"/>
    </i>
  </rowItems>
  <colFields count="1">
    <field x="2"/>
  </colFields>
  <colItems count="2">
    <i>
      <x/>
    </i>
    <i>
      <x v="1"/>
    </i>
  </colItems>
  <dataFields count="1">
    <dataField name="Sum of SUM" fld="8"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CA21B-F6FD-4ED4-9AAC-F9FF9CBD9C9D}"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51:D359" firstHeaderRow="1" firstDataRow="1" firstDataCol="2"/>
  <pivotFields count="8">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4">
        <item x="2"/>
        <item x="1"/>
        <item x="0"/>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pivotFields>
  <rowFields count="2">
    <field x="4"/>
    <field x="1"/>
  </rowFields>
  <rowItems count="8">
    <i>
      <x/>
      <x/>
    </i>
    <i r="1">
      <x v="1"/>
    </i>
    <i>
      <x v="2"/>
      <x/>
    </i>
    <i r="1">
      <x v="1"/>
    </i>
    <i>
      <x v="1"/>
      <x/>
    </i>
    <i r="1">
      <x v="1"/>
    </i>
    <i>
      <x v="3"/>
      <x/>
    </i>
    <i r="1">
      <x v="1"/>
    </i>
  </rowItems>
  <colItems count="1">
    <i/>
  </colItems>
  <dataFields count="1">
    <dataField name="Sum of Final Test" fld="7" baseField="0" baseItem="0"/>
  </dataFields>
  <formats count="10">
    <format dxfId="51">
      <pivotArea type="all" dataOnly="0" outline="0" fieldPosition="0"/>
    </format>
    <format dxfId="50">
      <pivotArea outline="0" collapsedLevelsAreSubtotals="1" fieldPosition="0"/>
    </format>
    <format dxfId="49">
      <pivotArea field="1" type="button" dataOnly="0" labelOnly="1" outline="0" axis="axisRow" fieldPosition="1"/>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1"/>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EC896F-E0E4-4915-812A-228960140456}" sourceName="Gende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5A08FB0-A18C-47A4-827F-C32AF48A5374}" sourceName="Gender">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 xr10:uid="{8129C68B-1786-488A-A696-45D55313D990}" sourceName="Home">
  <extLst>
    <x:ext xmlns:x15="http://schemas.microsoft.com/office/spreadsheetml/2010/11/main" uri="{2F2917AC-EB37-4324-AD4E-5DD8C200BD13}">
      <x15:tableSlicerCache tableId="3"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EEE1C07-9236-49E2-963B-2C7C6EB67DC8}" cache="Slicer_Gender" caption="Gende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E415D8-F82A-4047-BC8B-01C49A68D408}" cache="Slicer_Gender1" caption="Gender" rowHeight="241300"/>
  <slicer name="Home" xr10:uid="{EEF33BE0-9BC5-4B76-85A5-B730EB62D3D9}" cache="Slicer_Home" caption="Ho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E738C-8ADA-40A6-9D27-F711199ABBA9}" name="Table1" displayName="Table1" ref="A6:L21" totalsRowShown="0" headerRowDxfId="65" dataDxfId="64">
  <autoFilter ref="A6:L21" xr:uid="{D1AE738C-8ADA-40A6-9D27-F711199ABBA9}"/>
  <sortState xmlns:xlrd2="http://schemas.microsoft.com/office/spreadsheetml/2017/richdata2" ref="A7:K21">
    <sortCondition descending="1" ref="J7:J21"/>
  </sortState>
  <tableColumns count="12">
    <tableColumn id="1" xr3:uid="{ED2F0DA3-B285-4CF9-9B67-5C7A1813BA27}" name="First name" dataDxfId="63"/>
    <tableColumn id="2" xr3:uid="{105ACC46-BDB3-4CE6-A987-83090D4293CC}" name="Last name" dataDxfId="62"/>
    <tableColumn id="3" xr3:uid="{EFAC7C34-D094-4F28-9DE5-9C34B6FB8BA1}" name="Gender" dataDxfId="61"/>
    <tableColumn id="4" xr3:uid="{E4DCB1A5-B58C-4CBB-ACAA-B10428A14981}" name="Age" dataDxfId="60"/>
    <tableColumn id="5" xr3:uid="{6268CDA9-83D0-4FCD-9657-A627BD15B6AA}" name="Class" dataDxfId="59"/>
    <tableColumn id="6" xr3:uid="{9D737F4A-828A-4B3E-BFC8-C0B0B33AD77C}" name="Unit Test 1" dataDxfId="58"/>
    <tableColumn id="7" xr3:uid="{189D9AB0-5455-4C94-8E7E-07673A30F59A}" name="Unit Test 2" dataDxfId="57"/>
    <tableColumn id="8" xr3:uid="{3E56AC85-42A9-47AE-9F96-5BB6A0DA42A1}" name="Final Test" dataDxfId="56"/>
    <tableColumn id="9" xr3:uid="{75CC004E-2A8A-4625-AE11-D9F698821EB6}" name="SUM" dataDxfId="55">
      <calculatedColumnFormula>SUM(F7,G7,H7)</calculatedColumnFormula>
    </tableColumn>
    <tableColumn id="10" xr3:uid="{3C5B9382-C8A2-4613-B036-0B3B9D6F267D}" name="AVG" dataDxfId="54">
      <calculatedColumnFormula>AVERAGE(F7,G7,H7)</calculatedColumnFormula>
    </tableColumn>
    <tableColumn id="11" xr3:uid="{32146514-1DAF-4FEE-8A04-7107496D4493}" name="CONCATENATE" dataDxfId="53">
      <calculatedColumnFormula>CONCATENATE(A7, "  ", B7)</calculatedColumnFormula>
    </tableColumn>
    <tableColumn id="12" xr3:uid="{F94938A9-755E-490C-9203-0CADD50062F9}" name="Rankings" dataDxfId="52">
      <calculatedColumnFormula>IF(Table1[[#This Row],[AVG]]&gt;85,"topper","average")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ED82EF-6001-4789-8D78-B750C1B2BD5F}" name="Table2" displayName="Table2" ref="B157:I172" totalsRowShown="0" headerRowDxfId="41" dataDxfId="39" headerRowBorderDxfId="40" tableBorderDxfId="38" totalsRowBorderDxfId="37">
  <autoFilter ref="B157:I172" xr:uid="{A9ED82EF-6001-4789-8D78-B750C1B2BD5F}"/>
  <tableColumns count="8">
    <tableColumn id="1" xr3:uid="{1B4E404C-9A14-48E6-A6C8-561C3B271C1C}" name="Name" dataDxfId="36"/>
    <tableColumn id="2" xr3:uid="{2A283F4D-FC25-405E-93B9-9AA609965C3B}" name="Gender" dataDxfId="35"/>
    <tableColumn id="3" xr3:uid="{9D2B1880-A194-4DBB-A3BE-E0946C563E86}" name="Age" dataDxfId="34"/>
    <tableColumn id="4" xr3:uid="{462C3A14-A29B-49FE-8B80-7944A7DD24BD}" name="Class" dataDxfId="33"/>
    <tableColumn id="5" xr3:uid="{6B5D5871-F41C-421D-8CA7-AABE4B171CAF}" name="Home" dataDxfId="32"/>
    <tableColumn id="6" xr3:uid="{9F9C65A1-D9A0-4C26-8070-73C14A734277}" name="Unit Test 1" dataDxfId="31"/>
    <tableColumn id="7" xr3:uid="{598969C0-88D7-4FAE-BF80-2827548168FA}" name="Unit Test 2" dataDxfId="30"/>
    <tableColumn id="8" xr3:uid="{29CF2C0E-C1B0-42F5-AF78-72F2C26C56C8}" name="Final Test" dataDxfId="2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9B38B7-9A32-4F4E-AEAF-AC7ED8B51A63}" name="Table24" displayName="Table24" ref="B175:I190" totalsRowShown="0" headerRowDxfId="28" dataDxfId="26" headerRowBorderDxfId="27" tableBorderDxfId="25" totalsRowBorderDxfId="24">
  <autoFilter ref="B175:I190" xr:uid="{699B38B7-9A32-4F4E-AEAF-AC7ED8B51A63}"/>
  <tableColumns count="8">
    <tableColumn id="1" xr3:uid="{9EFF331B-B983-4607-97D9-6244C2516AC0}" name="Name" dataDxfId="23"/>
    <tableColumn id="2" xr3:uid="{1C5D1077-DB8F-4929-8827-A3E9C6DB7D6B}" name="Gender" dataDxfId="22"/>
    <tableColumn id="3" xr3:uid="{EA41BF9C-1F6C-4DA6-A7DE-EDBE7592BE7A}" name="Age" dataDxfId="21"/>
    <tableColumn id="4" xr3:uid="{54B50C40-E34D-425C-B246-CE7D4A2AB0DE}" name="Class" dataDxfId="20"/>
    <tableColumn id="5" xr3:uid="{CD4CFB39-F5CE-4911-954B-17CBE174D0AB}" name="Home" dataDxfId="19"/>
    <tableColumn id="6" xr3:uid="{16C3D686-EDB1-4CA3-AF59-C3067C3A0FD5}" name="Unit Test 1" dataDxfId="18"/>
    <tableColumn id="7" xr3:uid="{87E81C28-FA2F-4A4F-94F8-45CC8B5F55BC}" name="Unit Test 2" dataDxfId="17"/>
    <tableColumn id="8" xr3:uid="{826A85C4-DE25-4DA3-84B1-7F1C458FA0DD}" name="Final Test" dataDxfId="16"/>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8F4E82-8A71-49E8-8F10-DB29EA2FE40B}" name="Table6" displayName="Table6" ref="B225:B228" totalsRowShown="0" headerRowDxfId="15" dataDxfId="14">
  <autoFilter ref="B225:B228" xr:uid="{4A8F4E82-8A71-49E8-8F10-DB29EA2FE40B}"/>
  <tableColumns count="1">
    <tableColumn id="1" xr3:uid="{08BB141C-B925-439C-95B6-3525627C0901}" name="Grad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3" Type="http://schemas.openxmlformats.org/officeDocument/2006/relationships/hyperlink" Target="mailto:Hari@mail.com" TargetMode="External"/><Relationship Id="rId18" Type="http://schemas.openxmlformats.org/officeDocument/2006/relationships/hyperlink" Target="mailto:Vishaka@mail.com" TargetMode="External"/><Relationship Id="rId26" Type="http://schemas.openxmlformats.org/officeDocument/2006/relationships/hyperlink" Target="mailto:Indu@gmail.com" TargetMode="External"/><Relationship Id="rId3" Type="http://schemas.openxmlformats.org/officeDocument/2006/relationships/hyperlink" Target="mailto:Madhav@mail.com" TargetMode="External"/><Relationship Id="rId21" Type="http://schemas.openxmlformats.org/officeDocument/2006/relationships/hyperlink" Target="mailto:Vrinda@mail.com" TargetMode="External"/><Relationship Id="rId7" Type="http://schemas.openxmlformats.org/officeDocument/2006/relationships/hyperlink" Target="mailto:champa@gmail.com" TargetMode="External"/><Relationship Id="rId12" Type="http://schemas.openxmlformats.org/officeDocument/2006/relationships/hyperlink" Target="mailto:Vishaka@mail.com" TargetMode="External"/><Relationship Id="rId17" Type="http://schemas.openxmlformats.org/officeDocument/2006/relationships/hyperlink" Target="mailto:Hari@mail.com" TargetMode="External"/><Relationship Id="rId25" Type="http://schemas.openxmlformats.org/officeDocument/2006/relationships/hyperlink" Target="mailto:Gopal@gmail.com" TargetMode="External"/><Relationship Id="rId33" Type="http://schemas.microsoft.com/office/2007/relationships/slicer" Target="../slicers/slicer2.xml"/><Relationship Id="rId2" Type="http://schemas.openxmlformats.org/officeDocument/2006/relationships/hyperlink" Target="mailto:Arjun@mail.com" TargetMode="External"/><Relationship Id="rId16" Type="http://schemas.openxmlformats.org/officeDocument/2006/relationships/hyperlink" Target="mailto:RNM@mail.com" TargetMode="External"/><Relationship Id="rId20" Type="http://schemas.openxmlformats.org/officeDocument/2006/relationships/hyperlink" Target="mailto:Gopi@mail.com" TargetMode="External"/><Relationship Id="rId29" Type="http://schemas.openxmlformats.org/officeDocument/2006/relationships/drawing" Target="../drawings/drawing2.xml"/><Relationship Id="rId1" Type="http://schemas.openxmlformats.org/officeDocument/2006/relationships/pivotTable" Target="../pivotTables/pivotTable2.xml"/><Relationship Id="rId6" Type="http://schemas.openxmlformats.org/officeDocument/2006/relationships/hyperlink" Target="mailto:Keshav@gmail.com" TargetMode="External"/><Relationship Id="rId11" Type="http://schemas.openxmlformats.org/officeDocument/2006/relationships/hyperlink" Target="mailto:Sudevi@mail.com" TargetMode="External"/><Relationship Id="rId24" Type="http://schemas.openxmlformats.org/officeDocument/2006/relationships/hyperlink" Target="mailto:Keshav@gmail.com" TargetMode="External"/><Relationship Id="rId32" Type="http://schemas.openxmlformats.org/officeDocument/2006/relationships/table" Target="../tables/table4.xml"/><Relationship Id="rId5" Type="http://schemas.openxmlformats.org/officeDocument/2006/relationships/hyperlink" Target="mailto:Gopal@gmail.com" TargetMode="External"/><Relationship Id="rId15" Type="http://schemas.openxmlformats.org/officeDocument/2006/relationships/hyperlink" Target="mailto:Lalita@mail.com" TargetMode="External"/><Relationship Id="rId23" Type="http://schemas.openxmlformats.org/officeDocument/2006/relationships/hyperlink" Target="mailto:champa@gmail.com" TargetMode="External"/><Relationship Id="rId28" Type="http://schemas.openxmlformats.org/officeDocument/2006/relationships/hyperlink" Target="mailto:Arjun@mail.com" TargetMode="External"/><Relationship Id="rId10" Type="http://schemas.openxmlformats.org/officeDocument/2006/relationships/hyperlink" Target="mailto:Gopi@mail.com" TargetMode="External"/><Relationship Id="rId19" Type="http://schemas.openxmlformats.org/officeDocument/2006/relationships/hyperlink" Target="mailto:Sudevi@mail.com" TargetMode="External"/><Relationship Id="rId31" Type="http://schemas.openxmlformats.org/officeDocument/2006/relationships/table" Target="../tables/table3.xml"/><Relationship Id="rId4" Type="http://schemas.openxmlformats.org/officeDocument/2006/relationships/hyperlink" Target="mailto:Indu@gmail.com" TargetMode="External"/><Relationship Id="rId9" Type="http://schemas.openxmlformats.org/officeDocument/2006/relationships/hyperlink" Target="mailto:Vrinda@mail.com" TargetMode="External"/><Relationship Id="rId14" Type="http://schemas.openxmlformats.org/officeDocument/2006/relationships/hyperlink" Target="mailto:RNM@mail.com" TargetMode="External"/><Relationship Id="rId22" Type="http://schemas.openxmlformats.org/officeDocument/2006/relationships/hyperlink" Target="mailto:Abhimayu@gmail.com" TargetMode="External"/><Relationship Id="rId27" Type="http://schemas.openxmlformats.org/officeDocument/2006/relationships/hyperlink" Target="mailto:Madhav@mail.com" TargetMode="External"/><Relationship Id="rId30" Type="http://schemas.openxmlformats.org/officeDocument/2006/relationships/table" Target="../tables/table2.xml"/><Relationship Id="rId8" Type="http://schemas.openxmlformats.org/officeDocument/2006/relationships/hyperlink" Target="mailto:Abhimayu@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184F-9844-48D6-86C8-6D4745BA8F77}">
  <sheetPr codeName="Sheet1"/>
  <dimension ref="A1:H21"/>
  <sheetViews>
    <sheetView topLeftCell="A4" workbookViewId="0">
      <selection activeCell="H26" sqref="H26"/>
    </sheetView>
  </sheetViews>
  <sheetFormatPr defaultRowHeight="15" x14ac:dyDescent="0.25"/>
  <cols>
    <col min="1" max="1" width="11.140625" bestFit="1" customWidth="1"/>
    <col min="13" max="13" width="14" bestFit="1" customWidth="1"/>
  </cols>
  <sheetData>
    <row r="1" spans="1:8" s="2" customFormat="1" ht="15.75" x14ac:dyDescent="0.25">
      <c r="A1" s="60" t="s">
        <v>1</v>
      </c>
      <c r="B1" s="60" t="s">
        <v>2</v>
      </c>
      <c r="C1" s="60" t="s">
        <v>3</v>
      </c>
      <c r="D1" s="60" t="s">
        <v>4</v>
      </c>
      <c r="E1" s="60" t="s">
        <v>57</v>
      </c>
      <c r="F1" s="60" t="s">
        <v>5</v>
      </c>
      <c r="G1" s="60" t="s">
        <v>6</v>
      </c>
      <c r="H1" s="60" t="s">
        <v>7</v>
      </c>
    </row>
    <row r="2" spans="1:8" ht="15.75" x14ac:dyDescent="0.25">
      <c r="A2" s="10" t="s">
        <v>8</v>
      </c>
      <c r="B2" s="10" t="s">
        <v>9</v>
      </c>
      <c r="C2" s="10">
        <v>16</v>
      </c>
      <c r="D2" s="10">
        <v>10</v>
      </c>
      <c r="E2" s="10" t="s">
        <v>58</v>
      </c>
      <c r="F2" s="10">
        <v>84</v>
      </c>
      <c r="G2" s="10">
        <v>79</v>
      </c>
      <c r="H2" s="10">
        <v>81</v>
      </c>
    </row>
    <row r="3" spans="1:8" ht="15.75" x14ac:dyDescent="0.25">
      <c r="A3" s="10" t="s">
        <v>11</v>
      </c>
      <c r="B3" s="10" t="s">
        <v>9</v>
      </c>
      <c r="C3" s="10">
        <v>11</v>
      </c>
      <c r="D3" s="10">
        <v>5</v>
      </c>
      <c r="E3" s="10" t="s">
        <v>216</v>
      </c>
      <c r="F3" s="10">
        <v>82</v>
      </c>
      <c r="G3" s="10">
        <v>83</v>
      </c>
      <c r="H3" s="10">
        <v>91</v>
      </c>
    </row>
    <row r="4" spans="1:8" ht="15.75" x14ac:dyDescent="0.25">
      <c r="A4" s="10" t="s">
        <v>13</v>
      </c>
      <c r="B4" s="10" t="s">
        <v>14</v>
      </c>
      <c r="C4" s="10">
        <v>15</v>
      </c>
      <c r="D4" s="10">
        <v>8</v>
      </c>
      <c r="E4" s="10" t="s">
        <v>218</v>
      </c>
      <c r="F4" s="10">
        <v>81</v>
      </c>
      <c r="G4" s="10">
        <v>78</v>
      </c>
      <c r="H4" s="10">
        <v>88</v>
      </c>
    </row>
    <row r="5" spans="1:8" ht="15.75" x14ac:dyDescent="0.25">
      <c r="A5" s="10" t="s">
        <v>16</v>
      </c>
      <c r="B5" s="10" t="s">
        <v>9</v>
      </c>
      <c r="C5" s="10">
        <v>14</v>
      </c>
      <c r="D5" s="10">
        <v>8</v>
      </c>
      <c r="E5" s="10" t="s">
        <v>217</v>
      </c>
      <c r="F5" s="10">
        <v>70</v>
      </c>
      <c r="G5" s="10">
        <v>75</v>
      </c>
      <c r="H5" s="10">
        <v>79</v>
      </c>
    </row>
    <row r="6" spans="1:8" ht="15.75" x14ac:dyDescent="0.25">
      <c r="A6" s="10" t="s">
        <v>12</v>
      </c>
      <c r="B6" s="10" t="s">
        <v>14</v>
      </c>
      <c r="C6" s="10">
        <v>16</v>
      </c>
      <c r="D6" s="10">
        <v>10</v>
      </c>
      <c r="E6" s="10" t="s">
        <v>217</v>
      </c>
      <c r="F6" s="10">
        <v>88</v>
      </c>
      <c r="G6" s="10">
        <v>92</v>
      </c>
      <c r="H6" s="10">
        <v>96</v>
      </c>
    </row>
    <row r="7" spans="1:8" ht="15.75" x14ac:dyDescent="0.25">
      <c r="A7" s="10" t="s">
        <v>17</v>
      </c>
      <c r="B7" s="10" t="s">
        <v>9</v>
      </c>
      <c r="C7" s="10">
        <v>16</v>
      </c>
      <c r="D7" s="10">
        <v>10</v>
      </c>
      <c r="E7" s="10" t="s">
        <v>218</v>
      </c>
      <c r="F7" s="10">
        <v>82</v>
      </c>
      <c r="G7" s="10">
        <v>81</v>
      </c>
      <c r="H7" s="10">
        <v>80</v>
      </c>
    </row>
    <row r="8" spans="1:8" ht="15.75" x14ac:dyDescent="0.25">
      <c r="A8" s="10" t="s">
        <v>18</v>
      </c>
      <c r="B8" s="10" t="s">
        <v>14</v>
      </c>
      <c r="C8" s="10">
        <v>14</v>
      </c>
      <c r="D8" s="10">
        <v>8</v>
      </c>
      <c r="E8" s="10" t="s">
        <v>216</v>
      </c>
      <c r="F8" s="10">
        <v>90</v>
      </c>
      <c r="G8" s="10">
        <v>86</v>
      </c>
      <c r="H8" s="10">
        <v>89</v>
      </c>
    </row>
    <row r="9" spans="1:8" ht="15.75" x14ac:dyDescent="0.25">
      <c r="A9" s="10" t="s">
        <v>19</v>
      </c>
      <c r="B9" s="10" t="s">
        <v>9</v>
      </c>
      <c r="C9" s="10">
        <v>15</v>
      </c>
      <c r="D9" s="10">
        <v>9</v>
      </c>
      <c r="E9" s="10" t="s">
        <v>216</v>
      </c>
      <c r="F9" s="10">
        <v>87</v>
      </c>
      <c r="G9" s="10">
        <v>89</v>
      </c>
      <c r="H9" s="10">
        <v>96</v>
      </c>
    </row>
    <row r="10" spans="1:8" ht="15.75" x14ac:dyDescent="0.25">
      <c r="A10" s="10" t="s">
        <v>20</v>
      </c>
      <c r="B10" s="10" t="s">
        <v>14</v>
      </c>
      <c r="C10" s="10">
        <v>17</v>
      </c>
      <c r="D10" s="10">
        <v>10</v>
      </c>
      <c r="E10" s="10" t="s">
        <v>218</v>
      </c>
      <c r="F10" s="10">
        <v>70</v>
      </c>
      <c r="G10" s="10">
        <v>90</v>
      </c>
      <c r="H10" s="10">
        <v>92</v>
      </c>
    </row>
    <row r="11" spans="1:8" ht="15.75" x14ac:dyDescent="0.25">
      <c r="A11" s="10" t="s">
        <v>17</v>
      </c>
      <c r="B11" s="10" t="s">
        <v>9</v>
      </c>
      <c r="C11" s="10">
        <v>11</v>
      </c>
      <c r="D11" s="10">
        <v>6</v>
      </c>
      <c r="E11" s="10" t="s">
        <v>58</v>
      </c>
      <c r="F11" s="10">
        <v>91</v>
      </c>
      <c r="G11" s="10">
        <v>81</v>
      </c>
      <c r="H11" s="10">
        <v>95</v>
      </c>
    </row>
    <row r="12" spans="1:8" ht="15.75" x14ac:dyDescent="0.25">
      <c r="A12" s="10" t="s">
        <v>15</v>
      </c>
      <c r="B12" s="10" t="s">
        <v>9</v>
      </c>
      <c r="C12" s="10">
        <v>12</v>
      </c>
      <c r="D12" s="10">
        <v>7</v>
      </c>
      <c r="E12" s="10" t="s">
        <v>58</v>
      </c>
      <c r="F12" s="10">
        <v>86</v>
      </c>
      <c r="G12" s="10">
        <v>92</v>
      </c>
      <c r="H12" s="10">
        <v>89</v>
      </c>
    </row>
    <row r="13" spans="1:8" ht="15.75" x14ac:dyDescent="0.25">
      <c r="A13" s="10" t="s">
        <v>21</v>
      </c>
      <c r="B13" s="10" t="s">
        <v>14</v>
      </c>
      <c r="C13" s="10">
        <v>16</v>
      </c>
      <c r="D13" s="10">
        <v>10</v>
      </c>
      <c r="E13" s="10" t="s">
        <v>58</v>
      </c>
      <c r="F13" s="10">
        <v>81</v>
      </c>
      <c r="G13" s="10">
        <v>80</v>
      </c>
      <c r="H13" s="10">
        <v>87</v>
      </c>
    </row>
    <row r="14" spans="1:8" ht="15.75" x14ac:dyDescent="0.25">
      <c r="A14" s="10" t="s">
        <v>22</v>
      </c>
      <c r="B14" s="10" t="s">
        <v>14</v>
      </c>
      <c r="C14" s="10">
        <v>11</v>
      </c>
      <c r="D14" s="10">
        <v>6</v>
      </c>
      <c r="E14" s="10" t="s">
        <v>218</v>
      </c>
      <c r="F14" s="10">
        <v>88</v>
      </c>
      <c r="G14" s="10">
        <v>90</v>
      </c>
      <c r="H14" s="10">
        <v>92</v>
      </c>
    </row>
    <row r="15" spans="1:8" ht="15.75" x14ac:dyDescent="0.25">
      <c r="A15" s="10" t="s">
        <v>23</v>
      </c>
      <c r="B15" s="10" t="s">
        <v>14</v>
      </c>
      <c r="C15" s="10">
        <v>16</v>
      </c>
      <c r="D15" s="10">
        <v>10</v>
      </c>
      <c r="E15" s="10" t="s">
        <v>218</v>
      </c>
      <c r="F15" s="10">
        <v>70</v>
      </c>
      <c r="G15" s="10">
        <v>87</v>
      </c>
      <c r="H15" s="10">
        <v>85</v>
      </c>
    </row>
    <row r="16" spans="1:8" ht="15.75" x14ac:dyDescent="0.25">
      <c r="A16" s="10" t="s">
        <v>10</v>
      </c>
      <c r="B16" s="10" t="s">
        <v>14</v>
      </c>
      <c r="C16" s="10">
        <v>14</v>
      </c>
      <c r="D16" s="10">
        <v>8</v>
      </c>
      <c r="E16" s="10" t="s">
        <v>217</v>
      </c>
      <c r="F16" s="10">
        <v>91</v>
      </c>
      <c r="G16" s="10">
        <v>96</v>
      </c>
      <c r="H16" s="10">
        <v>98</v>
      </c>
    </row>
    <row r="18" spans="5:7" x14ac:dyDescent="0.25">
      <c r="E18" s="13" t="s">
        <v>212</v>
      </c>
      <c r="F18" s="28">
        <f>AVERAGE(F2:F16)</f>
        <v>82.733333333333334</v>
      </c>
      <c r="G18" s="28">
        <f>AVERAGE(G2:G16)</f>
        <v>85.266666666666666</v>
      </c>
    </row>
    <row r="19" spans="5:7" x14ac:dyDescent="0.25">
      <c r="E19" s="13" t="s">
        <v>213</v>
      </c>
      <c r="F19" s="13">
        <f>MEDIAN(F1:F16)</f>
        <v>84</v>
      </c>
      <c r="G19" s="13">
        <f>MEDIAN(G1:G16)</f>
        <v>86</v>
      </c>
    </row>
    <row r="20" spans="5:7" x14ac:dyDescent="0.25">
      <c r="E20" s="13" t="s">
        <v>214</v>
      </c>
      <c r="F20" s="13">
        <f>_xlfn.MODE.SNGL(F2:F16)</f>
        <v>70</v>
      </c>
      <c r="G20" s="13">
        <f>_xlfn.MODE.SNGL(G2:G16)</f>
        <v>92</v>
      </c>
    </row>
    <row r="21" spans="5:7" x14ac:dyDescent="0.25">
      <c r="E21" s="13" t="s">
        <v>215</v>
      </c>
      <c r="F21" s="13">
        <f>SUMPRODUCT(F2:F16)</f>
        <v>1241</v>
      </c>
      <c r="G21" s="13">
        <f>SUMPRODUCT(G2:G16)</f>
        <v>1279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7317-51C9-41D7-95E7-63ECF47B3E5A}">
  <sheetPr codeName="Sheet3"/>
  <dimension ref="A5:P27"/>
  <sheetViews>
    <sheetView workbookViewId="0">
      <selection activeCell="C14" sqref="C14"/>
    </sheetView>
  </sheetViews>
  <sheetFormatPr defaultRowHeight="15" x14ac:dyDescent="0.25"/>
  <cols>
    <col min="1" max="1" width="15.7109375" bestFit="1" customWidth="1"/>
    <col min="2" max="2" width="15.42578125" bestFit="1" customWidth="1"/>
    <col min="3" max="3" width="12.7109375" bestFit="1" customWidth="1"/>
    <col min="4" max="4" width="9.7109375" bestFit="1" customWidth="1"/>
    <col min="5" max="5" width="10.140625" bestFit="1" customWidth="1"/>
    <col min="6" max="7" width="16" bestFit="1" customWidth="1"/>
    <col min="8" max="8" width="14.7109375" bestFit="1" customWidth="1"/>
    <col min="9" max="9" width="10.140625" bestFit="1" customWidth="1"/>
    <col min="10" max="10" width="9.7109375" bestFit="1" customWidth="1"/>
    <col min="11" max="11" width="18.85546875" style="1" bestFit="1" customWidth="1"/>
    <col min="12" max="12" width="14.28515625" bestFit="1" customWidth="1"/>
    <col min="15" max="15" width="11.140625" bestFit="1" customWidth="1"/>
    <col min="16" max="16" width="9.42578125" bestFit="1" customWidth="1"/>
    <col min="18" max="18" width="30" customWidth="1"/>
    <col min="19" max="19" width="45.28515625" customWidth="1"/>
  </cols>
  <sheetData>
    <row r="5" spans="1:16" x14ac:dyDescent="0.25">
      <c r="O5" t="s">
        <v>56</v>
      </c>
    </row>
    <row r="6" spans="1:16" s="2" customFormat="1" ht="15.75" x14ac:dyDescent="0.25">
      <c r="A6" s="3" t="s">
        <v>38</v>
      </c>
      <c r="B6" s="3" t="s">
        <v>37</v>
      </c>
      <c r="C6" s="3" t="s">
        <v>2</v>
      </c>
      <c r="D6" s="3" t="s">
        <v>3</v>
      </c>
      <c r="E6" s="3" t="s">
        <v>4</v>
      </c>
      <c r="F6" s="3" t="s">
        <v>5</v>
      </c>
      <c r="G6" s="3" t="s">
        <v>6</v>
      </c>
      <c r="H6" s="3" t="s">
        <v>7</v>
      </c>
      <c r="I6" s="3" t="s">
        <v>36</v>
      </c>
      <c r="J6" s="3" t="s">
        <v>34</v>
      </c>
      <c r="K6" s="8" t="s">
        <v>35</v>
      </c>
      <c r="L6" s="3" t="s">
        <v>52</v>
      </c>
      <c r="O6" s="13" t="s">
        <v>1</v>
      </c>
      <c r="P6" s="13" t="s">
        <v>7</v>
      </c>
    </row>
    <row r="7" spans="1:16" ht="15.75" x14ac:dyDescent="0.25">
      <c r="A7" s="4" t="s">
        <v>10</v>
      </c>
      <c r="B7" s="4" t="s">
        <v>49</v>
      </c>
      <c r="C7" s="4" t="s">
        <v>14</v>
      </c>
      <c r="D7" s="4">
        <v>14</v>
      </c>
      <c r="E7" s="4">
        <v>8</v>
      </c>
      <c r="F7" s="4">
        <v>91</v>
      </c>
      <c r="G7" s="4">
        <v>96</v>
      </c>
      <c r="H7" s="4">
        <v>98</v>
      </c>
      <c r="I7" s="4">
        <f t="shared" ref="I7:I21" si="0">SUM(F7,G7,H7)</f>
        <v>285</v>
      </c>
      <c r="J7" s="7">
        <f t="shared" ref="J7:J21" si="1">AVERAGE(F7,G7,H7)</f>
        <v>95</v>
      </c>
      <c r="K7" s="1" t="str">
        <f t="shared" ref="K7:K21" si="2">CONCATENATE(A7, "  ", B7)</f>
        <v>Vrinda  sharma</v>
      </c>
      <c r="L7" s="4" t="str">
        <f>IF(Table1[[#This Row],[AVG]]&gt;85,"topper","average")</f>
        <v>topper</v>
      </c>
      <c r="O7" s="11" t="s">
        <v>10</v>
      </c>
      <c r="P7" s="11">
        <f>VLOOKUP(O7,Table1[#All],8,0)</f>
        <v>98</v>
      </c>
    </row>
    <row r="8" spans="1:16" ht="15.75" x14ac:dyDescent="0.25">
      <c r="A8" s="4" t="s">
        <v>12</v>
      </c>
      <c r="B8" s="4" t="s">
        <v>42</v>
      </c>
      <c r="C8" s="4" t="s">
        <v>14</v>
      </c>
      <c r="D8" s="4">
        <v>16</v>
      </c>
      <c r="E8" s="4">
        <v>10</v>
      </c>
      <c r="F8" s="4">
        <v>88</v>
      </c>
      <c r="G8" s="4">
        <v>92</v>
      </c>
      <c r="H8" s="4">
        <v>96</v>
      </c>
      <c r="I8" s="4">
        <f t="shared" si="0"/>
        <v>276</v>
      </c>
      <c r="J8" s="7">
        <f t="shared" si="1"/>
        <v>92</v>
      </c>
      <c r="K8" s="1" t="str">
        <f t="shared" si="2"/>
        <v>Gopi  Kumar</v>
      </c>
      <c r="L8" s="4" t="str">
        <f>IF(Table1[[#This Row],[AVG]]&gt;85,"topper","average")</f>
        <v>topper</v>
      </c>
      <c r="O8" s="11" t="s">
        <v>12</v>
      </c>
      <c r="P8" s="11">
        <f>VLOOKUP(O8,Table1[#All],8,0)</f>
        <v>96</v>
      </c>
    </row>
    <row r="9" spans="1:16" ht="15.75" x14ac:dyDescent="0.25">
      <c r="A9" s="4" t="s">
        <v>19</v>
      </c>
      <c r="B9" s="4" t="s">
        <v>45</v>
      </c>
      <c r="C9" s="4" t="s">
        <v>9</v>
      </c>
      <c r="D9" s="4">
        <v>15</v>
      </c>
      <c r="E9" s="4">
        <v>9</v>
      </c>
      <c r="F9" s="4">
        <v>87</v>
      </c>
      <c r="G9" s="4">
        <v>89</v>
      </c>
      <c r="H9" s="4">
        <v>96</v>
      </c>
      <c r="I9" s="4">
        <f t="shared" si="0"/>
        <v>272</v>
      </c>
      <c r="J9" s="7">
        <f t="shared" si="1"/>
        <v>90.666666666666671</v>
      </c>
      <c r="K9" s="1" t="str">
        <f t="shared" si="2"/>
        <v>Keshav  Kulkarni</v>
      </c>
      <c r="L9" s="4" t="str">
        <f>IF(Table1[[#This Row],[AVG]]&gt;85,"topper","average")</f>
        <v>topper</v>
      </c>
      <c r="O9" s="11" t="s">
        <v>15</v>
      </c>
      <c r="P9" s="11">
        <f>VLOOKUP(O9,Table1[#All],8,0)</f>
        <v>89</v>
      </c>
    </row>
    <row r="10" spans="1:16" ht="15.75" x14ac:dyDescent="0.25">
      <c r="A10" s="4" t="s">
        <v>22</v>
      </c>
      <c r="B10" s="4" t="s">
        <v>41</v>
      </c>
      <c r="C10" s="4" t="s">
        <v>14</v>
      </c>
      <c r="D10" s="4">
        <v>11</v>
      </c>
      <c r="E10" s="4">
        <v>6</v>
      </c>
      <c r="F10" s="4">
        <v>88</v>
      </c>
      <c r="G10" s="4">
        <v>90</v>
      </c>
      <c r="H10" s="4">
        <v>92</v>
      </c>
      <c r="I10" s="4">
        <f t="shared" si="0"/>
        <v>270</v>
      </c>
      <c r="J10" s="7">
        <f t="shared" si="1"/>
        <v>90</v>
      </c>
      <c r="K10" s="1" t="str">
        <f t="shared" si="2"/>
        <v>Vidya  verma</v>
      </c>
      <c r="L10" s="4" t="str">
        <f>IF(Table1[[#This Row],[AVG]]&gt;85,"topper","average")</f>
        <v>topper</v>
      </c>
      <c r="O10" s="11" t="s">
        <v>17</v>
      </c>
      <c r="P10" s="11">
        <f>VLOOKUP(O10,Table1[#All],8,0)</f>
        <v>95</v>
      </c>
    </row>
    <row r="11" spans="1:16" ht="15.75" x14ac:dyDescent="0.25">
      <c r="A11" s="4" t="s">
        <v>17</v>
      </c>
      <c r="B11" s="4" t="s">
        <v>47</v>
      </c>
      <c r="C11" s="4" t="s">
        <v>9</v>
      </c>
      <c r="D11" s="4">
        <v>11</v>
      </c>
      <c r="E11" s="4">
        <v>6</v>
      </c>
      <c r="F11" s="4">
        <v>91</v>
      </c>
      <c r="G11" s="4">
        <v>81</v>
      </c>
      <c r="H11" s="4">
        <v>95</v>
      </c>
      <c r="I11" s="4">
        <f t="shared" si="0"/>
        <v>267</v>
      </c>
      <c r="J11" s="7">
        <f t="shared" si="1"/>
        <v>89</v>
      </c>
      <c r="K11" s="1" t="str">
        <f t="shared" si="2"/>
        <v>Hari  Parasad</v>
      </c>
      <c r="L11" s="4" t="str">
        <f>IF(Table1[[#This Row],[AVG]]&gt;85,"topper","average")</f>
        <v>topper</v>
      </c>
      <c r="O11" s="11" t="s">
        <v>8</v>
      </c>
      <c r="P11" s="11">
        <f>VLOOKUP(O11,Table1[#All],8,0)</f>
        <v>81</v>
      </c>
    </row>
    <row r="12" spans="1:16" ht="15.75" x14ac:dyDescent="0.25">
      <c r="A12" s="4" t="s">
        <v>15</v>
      </c>
      <c r="B12" s="4" t="s">
        <v>48</v>
      </c>
      <c r="C12" s="4" t="s">
        <v>9</v>
      </c>
      <c r="D12" s="4">
        <v>12</v>
      </c>
      <c r="E12" s="4">
        <v>7</v>
      </c>
      <c r="F12" s="4">
        <v>86</v>
      </c>
      <c r="G12" s="4">
        <v>92</v>
      </c>
      <c r="H12" s="4">
        <v>89</v>
      </c>
      <c r="I12" s="4">
        <f t="shared" si="0"/>
        <v>267</v>
      </c>
      <c r="J12" s="7">
        <f t="shared" si="1"/>
        <v>89</v>
      </c>
      <c r="K12" s="1" t="str">
        <f t="shared" si="2"/>
        <v>Madhav  srivastav</v>
      </c>
      <c r="L12" s="4" t="str">
        <f>IF(Table1[[#This Row],[AVG]]&gt;85,"topper","average")</f>
        <v>topper</v>
      </c>
    </row>
    <row r="13" spans="1:16" ht="15.75" x14ac:dyDescent="0.25">
      <c r="A13" s="4" t="s">
        <v>18</v>
      </c>
      <c r="B13" s="4" t="s">
        <v>44</v>
      </c>
      <c r="C13" s="4" t="s">
        <v>14</v>
      </c>
      <c r="D13" s="4">
        <v>14</v>
      </c>
      <c r="E13" s="4">
        <v>8</v>
      </c>
      <c r="F13" s="4">
        <v>90</v>
      </c>
      <c r="G13" s="4">
        <v>86</v>
      </c>
      <c r="H13" s="4">
        <v>89</v>
      </c>
      <c r="I13" s="4">
        <f t="shared" si="0"/>
        <v>265</v>
      </c>
      <c r="J13" s="7">
        <f t="shared" si="1"/>
        <v>88.333333333333329</v>
      </c>
      <c r="K13" s="1" t="str">
        <f t="shared" si="2"/>
        <v>Indu  kumari</v>
      </c>
      <c r="L13" s="4" t="str">
        <f>IF(Table1[[#This Row],[AVG]]&gt;85,"topper","average")</f>
        <v>topper</v>
      </c>
    </row>
    <row r="14" spans="1:16" ht="15.75" x14ac:dyDescent="0.25">
      <c r="A14" s="4" t="s">
        <v>11</v>
      </c>
      <c r="B14" s="4" t="s">
        <v>50</v>
      </c>
      <c r="C14" s="4" t="s">
        <v>9</v>
      </c>
      <c r="D14" s="4">
        <v>11</v>
      </c>
      <c r="E14" s="4">
        <v>5</v>
      </c>
      <c r="F14" s="4">
        <v>82</v>
      </c>
      <c r="G14" s="4">
        <v>83</v>
      </c>
      <c r="H14" s="4">
        <v>91</v>
      </c>
      <c r="I14" s="4">
        <f t="shared" si="0"/>
        <v>256</v>
      </c>
      <c r="J14" s="7">
        <f t="shared" si="1"/>
        <v>85.333333333333329</v>
      </c>
      <c r="K14" s="1" t="str">
        <f t="shared" si="2"/>
        <v>Arjun  Gupta</v>
      </c>
      <c r="L14" s="4" t="str">
        <f>IF(Table1[[#This Row],[AVG]]&gt;85,"topper","average")</f>
        <v>topper</v>
      </c>
    </row>
    <row r="15" spans="1:16" ht="15.75" x14ac:dyDescent="0.25">
      <c r="A15" s="4" t="s">
        <v>20</v>
      </c>
      <c r="B15" s="4" t="s">
        <v>46</v>
      </c>
      <c r="C15" s="4" t="s">
        <v>14</v>
      </c>
      <c r="D15" s="4">
        <v>17</v>
      </c>
      <c r="E15" s="4">
        <v>10</v>
      </c>
      <c r="F15" s="4">
        <v>70</v>
      </c>
      <c r="G15" s="4">
        <v>90</v>
      </c>
      <c r="H15" s="4">
        <v>92</v>
      </c>
      <c r="I15" s="4">
        <f t="shared" si="0"/>
        <v>252</v>
      </c>
      <c r="J15" s="7">
        <f t="shared" si="1"/>
        <v>84</v>
      </c>
      <c r="K15" s="1" t="str">
        <f t="shared" si="2"/>
        <v>Lalita  chauhan</v>
      </c>
      <c r="L15" s="4" t="str">
        <f>IF(Table1[[#This Row],[AVG]]&gt;85,"topper","average")</f>
        <v>average</v>
      </c>
    </row>
    <row r="16" spans="1:16" ht="15.75" x14ac:dyDescent="0.25">
      <c r="A16" s="4" t="s">
        <v>21</v>
      </c>
      <c r="B16" s="4" t="s">
        <v>49</v>
      </c>
      <c r="C16" s="4" t="s">
        <v>14</v>
      </c>
      <c r="D16" s="4">
        <v>16</v>
      </c>
      <c r="E16" s="4">
        <v>10</v>
      </c>
      <c r="F16" s="4">
        <v>81</v>
      </c>
      <c r="G16" s="4">
        <v>80</v>
      </c>
      <c r="H16" s="4">
        <v>87</v>
      </c>
      <c r="I16" s="4">
        <f t="shared" si="0"/>
        <v>248</v>
      </c>
      <c r="J16" s="7">
        <f t="shared" si="1"/>
        <v>82.666666666666671</v>
      </c>
      <c r="K16" s="1" t="str">
        <f t="shared" si="2"/>
        <v>Sudevi  sharma</v>
      </c>
      <c r="L16" s="4" t="str">
        <f>IF(Table1[[#This Row],[AVG]]&gt;85,"topper","average")</f>
        <v>average</v>
      </c>
    </row>
    <row r="17" spans="1:12" ht="15.75" x14ac:dyDescent="0.25">
      <c r="A17" s="4" t="s">
        <v>13</v>
      </c>
      <c r="B17" s="4" t="s">
        <v>40</v>
      </c>
      <c r="C17" s="4" t="s">
        <v>14</v>
      </c>
      <c r="D17" s="4">
        <v>15</v>
      </c>
      <c r="E17" s="4">
        <v>8</v>
      </c>
      <c r="F17" s="4">
        <v>81</v>
      </c>
      <c r="G17" s="4">
        <v>78</v>
      </c>
      <c r="H17" s="4">
        <v>88</v>
      </c>
      <c r="I17" s="4">
        <f t="shared" si="0"/>
        <v>247</v>
      </c>
      <c r="J17" s="7">
        <f t="shared" si="1"/>
        <v>82.333333333333329</v>
      </c>
      <c r="K17" s="1" t="str">
        <f t="shared" si="2"/>
        <v>Champa  reddy</v>
      </c>
      <c r="L17" s="4" t="str">
        <f>IF(Table1[[#This Row],[AVG]]&gt;85,"topper","average")</f>
        <v>average</v>
      </c>
    </row>
    <row r="18" spans="1:12" ht="15.75" x14ac:dyDescent="0.25">
      <c r="A18" s="4" t="s">
        <v>8</v>
      </c>
      <c r="B18" s="4" t="s">
        <v>39</v>
      </c>
      <c r="C18" s="4" t="s">
        <v>9</v>
      </c>
      <c r="D18" s="4">
        <v>16</v>
      </c>
      <c r="E18" s="4">
        <v>10</v>
      </c>
      <c r="F18" s="4">
        <v>84</v>
      </c>
      <c r="G18" s="4">
        <v>79</v>
      </c>
      <c r="H18" s="4">
        <v>81</v>
      </c>
      <c r="I18" s="4">
        <f t="shared" si="0"/>
        <v>244</v>
      </c>
      <c r="J18" s="7">
        <f t="shared" si="1"/>
        <v>81.333333333333329</v>
      </c>
      <c r="K18" s="1" t="str">
        <f t="shared" si="2"/>
        <v>Abhimanyu  Shastry</v>
      </c>
      <c r="L18" s="4" t="str">
        <f>IF(Table1[[#This Row],[AVG]]&gt;85,"topper","average")</f>
        <v>average</v>
      </c>
    </row>
    <row r="19" spans="1:12" ht="15.75" x14ac:dyDescent="0.25">
      <c r="A19" s="4" t="s">
        <v>17</v>
      </c>
      <c r="B19" s="4" t="s">
        <v>43</v>
      </c>
      <c r="C19" s="4" t="s">
        <v>9</v>
      </c>
      <c r="D19" s="4">
        <v>16</v>
      </c>
      <c r="E19" s="4">
        <v>10</v>
      </c>
      <c r="F19" s="4">
        <v>82</v>
      </c>
      <c r="G19" s="4">
        <v>81</v>
      </c>
      <c r="H19" s="4">
        <v>80</v>
      </c>
      <c r="I19" s="4">
        <f t="shared" si="0"/>
        <v>243</v>
      </c>
      <c r="J19" s="7">
        <f t="shared" si="1"/>
        <v>81</v>
      </c>
      <c r="K19" s="1" t="str">
        <f t="shared" si="2"/>
        <v>Hari  Tandon</v>
      </c>
      <c r="L19" s="4" t="str">
        <f>IF(Table1[[#This Row],[AVG]]&gt;85,"topper","average")</f>
        <v>average</v>
      </c>
    </row>
    <row r="20" spans="1:12" ht="15.75" x14ac:dyDescent="0.25">
      <c r="A20" s="4" t="s">
        <v>23</v>
      </c>
      <c r="B20" s="4" t="s">
        <v>50</v>
      </c>
      <c r="C20" s="4" t="s">
        <v>14</v>
      </c>
      <c r="D20" s="4">
        <v>16</v>
      </c>
      <c r="E20" s="4">
        <v>10</v>
      </c>
      <c r="F20" s="4">
        <v>70</v>
      </c>
      <c r="G20" s="4">
        <v>87</v>
      </c>
      <c r="H20" s="4">
        <v>85</v>
      </c>
      <c r="I20" s="4">
        <f t="shared" si="0"/>
        <v>242</v>
      </c>
      <c r="J20" s="7">
        <f t="shared" si="1"/>
        <v>80.666666666666671</v>
      </c>
      <c r="K20" s="1" t="str">
        <f t="shared" si="2"/>
        <v>Visakha  Gupta</v>
      </c>
      <c r="L20" s="4" t="str">
        <f>IF(Table1[[#This Row],[AVG]]&gt;85,"topper","average")</f>
        <v>average</v>
      </c>
    </row>
    <row r="21" spans="1:12" ht="15.75" x14ac:dyDescent="0.25">
      <c r="A21" s="4" t="s">
        <v>16</v>
      </c>
      <c r="B21" s="4" t="s">
        <v>41</v>
      </c>
      <c r="C21" s="4" t="s">
        <v>9</v>
      </c>
      <c r="D21" s="4">
        <v>14</v>
      </c>
      <c r="E21" s="4">
        <v>8</v>
      </c>
      <c r="F21" s="4">
        <v>70</v>
      </c>
      <c r="G21" s="4">
        <v>75</v>
      </c>
      <c r="H21" s="4">
        <v>79</v>
      </c>
      <c r="I21" s="4">
        <f t="shared" si="0"/>
        <v>224</v>
      </c>
      <c r="J21" s="7">
        <f t="shared" si="1"/>
        <v>74.666666666666671</v>
      </c>
      <c r="K21" s="1" t="str">
        <f t="shared" si="2"/>
        <v>Gopal  verma</v>
      </c>
      <c r="L21" s="4" t="str">
        <f>IF(Table1[[#This Row],[AVG]]&gt;85,"topper","average")</f>
        <v>average</v>
      </c>
    </row>
    <row r="23" spans="1:12" x14ac:dyDescent="0.25">
      <c r="A23" s="11" t="s">
        <v>0</v>
      </c>
      <c r="B23" s="11"/>
      <c r="C23" s="11"/>
      <c r="D23" s="11"/>
    </row>
    <row r="24" spans="1:12" ht="15.75" x14ac:dyDescent="0.25">
      <c r="A24" s="9" t="s">
        <v>38</v>
      </c>
      <c r="B24" s="9" t="s">
        <v>7</v>
      </c>
      <c r="C24" s="9" t="s">
        <v>36</v>
      </c>
      <c r="D24" s="9" t="s">
        <v>52</v>
      </c>
      <c r="G24" s="12" t="s">
        <v>53</v>
      </c>
      <c r="H24" s="12" t="s">
        <v>2</v>
      </c>
    </row>
    <row r="25" spans="1:12" ht="15.75" x14ac:dyDescent="0.25">
      <c r="A25" s="10" t="s">
        <v>17</v>
      </c>
      <c r="B25" s="11">
        <f>VLOOKUP(A25,Table1[#All],8,0)</f>
        <v>95</v>
      </c>
      <c r="C25" s="11">
        <f>VLOOKUP(A25,Table1[#All],9,0)</f>
        <v>267</v>
      </c>
      <c r="D25" s="11" t="str">
        <f>VLOOKUP(A25,Table1[#All],12,0)</f>
        <v>topper</v>
      </c>
      <c r="G25" s="12" t="s">
        <v>52</v>
      </c>
      <c r="H25" t="s">
        <v>14</v>
      </c>
      <c r="I25" t="s">
        <v>9</v>
      </c>
    </row>
    <row r="26" spans="1:12" ht="15.75" x14ac:dyDescent="0.25">
      <c r="A26" s="10" t="s">
        <v>18</v>
      </c>
      <c r="B26" s="11">
        <f>VLOOKUP(A26,Table1[#All],8,0)</f>
        <v>89</v>
      </c>
      <c r="C26" s="11">
        <f>VLOOKUP(A26,Table1[#All],9,0)</f>
        <v>265</v>
      </c>
      <c r="D26" s="11" t="str">
        <f>VLOOKUP(A26,Table1[#All],12,0)</f>
        <v>topper</v>
      </c>
      <c r="G26" t="s">
        <v>54</v>
      </c>
      <c r="H26">
        <v>989</v>
      </c>
      <c r="I26">
        <v>711</v>
      </c>
    </row>
    <row r="27" spans="1:12" ht="15.75" x14ac:dyDescent="0.25">
      <c r="A27" s="10" t="s">
        <v>19</v>
      </c>
      <c r="B27" s="11">
        <f>VLOOKUP(A27,Table1[#All],8,0)</f>
        <v>96</v>
      </c>
      <c r="C27" s="11">
        <f>VLOOKUP(A27,Table1[#All],9,0)</f>
        <v>272</v>
      </c>
      <c r="D27" s="11" t="str">
        <f>VLOOKUP(A27,Table1[#All],12,0)</f>
        <v>topper</v>
      </c>
      <c r="G27" t="s">
        <v>55</v>
      </c>
      <c r="H27">
        <v>1096</v>
      </c>
      <c r="I27">
        <v>1062</v>
      </c>
    </row>
  </sheetData>
  <conditionalFormatting sqref="C18">
    <cfRule type="dataBar" priority="9">
      <dataBar>
        <cfvo type="min"/>
        <cfvo type="max"/>
        <color rgb="FF638EC6"/>
      </dataBar>
      <extLst>
        <ext xmlns:x14="http://schemas.microsoft.com/office/spreadsheetml/2009/9/main" uri="{B025F937-C7B1-47D3-B67F-A62EFF666E3E}">
          <x14:id>{9C76C8CB-DF5A-412C-9C46-286B56EA5807}</x14:id>
        </ext>
      </extLst>
    </cfRule>
  </conditionalFormatting>
  <conditionalFormatting sqref="D24">
    <cfRule type="aboveAverage" dxfId="12" priority="6"/>
    <cfRule type="cellIs" priority="7" operator="between">
      <formula>85</formula>
      <formula>100</formula>
    </cfRule>
    <cfRule type="iconSet" priority="8">
      <iconSet iconSet="3Arrows">
        <cfvo type="percent" val="0"/>
        <cfvo type="percent" val="33"/>
        <cfvo type="percent" val="67"/>
      </iconSet>
    </cfRule>
  </conditionalFormatting>
  <conditionalFormatting sqref="J1:J1048576">
    <cfRule type="cellIs" dxfId="11" priority="15" operator="greaterThan">
      <formula>84.83</formula>
    </cfRule>
  </conditionalFormatting>
  <conditionalFormatting sqref="L6">
    <cfRule type="containsText" priority="3" operator="containsText" text="topper">
      <formula>NOT(ISERROR(SEARCH("topper",L6)))</formula>
    </cfRule>
    <cfRule type="aboveAverage" dxfId="10" priority="10"/>
    <cfRule type="cellIs" priority="11" operator="between">
      <formula>85</formula>
      <formula>100</formula>
    </cfRule>
    <cfRule type="iconSet" priority="12">
      <iconSet iconSet="3Arrows">
        <cfvo type="percent" val="0"/>
        <cfvo type="percent" val="33"/>
        <cfvo type="percent" val="67"/>
      </iconSet>
    </cfRule>
  </conditionalFormatting>
  <conditionalFormatting sqref="L7:L21">
    <cfRule type="containsText" dxfId="9" priority="2" operator="containsText" text="topper">
      <formula>NOT(ISERROR(SEARCH("topper",L7)))</formula>
    </cfRule>
  </conditionalFormatting>
  <conditionalFormatting sqref="L15:L21">
    <cfRule type="containsText" dxfId="8" priority="1" operator="containsText" text="average">
      <formula>NOT(ISERROR(SEARCH("average",L15)))</formula>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C76C8CB-DF5A-412C-9C46-286B56EA5807}">
            <x14:dataBar minLength="0" maxLength="100" border="1" negativeBarBorderColorSameAsPositive="0">
              <x14:cfvo type="autoMin"/>
              <x14:cfvo type="autoMax"/>
              <x14:borderColor rgb="FF638EC6"/>
              <x14:negativeFillColor rgb="FFFF0000"/>
              <x14:negativeBorderColor rgb="FFFF0000"/>
              <x14:axisColor rgb="FF000000"/>
            </x14:dataBar>
          </x14:cfRule>
          <xm:sqref>C18</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D985-7030-4AB9-9AB0-D1C632FDD08E}">
  <sheetPr codeName="Sheet2"/>
  <dimension ref="A1:A16"/>
  <sheetViews>
    <sheetView workbookViewId="0">
      <selection activeCell="H16" sqref="H16"/>
    </sheetView>
  </sheetViews>
  <sheetFormatPr defaultRowHeight="15" x14ac:dyDescent="0.25"/>
  <cols>
    <col min="1" max="1" width="11.140625" bestFit="1" customWidth="1"/>
  </cols>
  <sheetData>
    <row r="1" spans="1:1" x14ac:dyDescent="0.25">
      <c r="A1" s="31" t="s">
        <v>1</v>
      </c>
    </row>
    <row r="2" spans="1:1" x14ac:dyDescent="0.25">
      <c r="A2" s="11" t="s">
        <v>8</v>
      </c>
    </row>
    <row r="3" spans="1:1" x14ac:dyDescent="0.25">
      <c r="A3" s="11" t="s">
        <v>11</v>
      </c>
    </row>
    <row r="4" spans="1:1" x14ac:dyDescent="0.25">
      <c r="A4" s="11" t="s">
        <v>13</v>
      </c>
    </row>
    <row r="5" spans="1:1" x14ac:dyDescent="0.25">
      <c r="A5" s="11" t="s">
        <v>16</v>
      </c>
    </row>
    <row r="6" spans="1:1" x14ac:dyDescent="0.25">
      <c r="A6" s="11" t="s">
        <v>12</v>
      </c>
    </row>
    <row r="7" spans="1:1" x14ac:dyDescent="0.25">
      <c r="A7" s="11" t="s">
        <v>17</v>
      </c>
    </row>
    <row r="8" spans="1:1" x14ac:dyDescent="0.25">
      <c r="A8" s="11" t="s">
        <v>18</v>
      </c>
    </row>
    <row r="9" spans="1:1" x14ac:dyDescent="0.25">
      <c r="A9" s="11" t="s">
        <v>19</v>
      </c>
    </row>
    <row r="10" spans="1:1" x14ac:dyDescent="0.25">
      <c r="A10" s="11" t="s">
        <v>20</v>
      </c>
    </row>
    <row r="11" spans="1:1" x14ac:dyDescent="0.25">
      <c r="A11" s="11" t="s">
        <v>17</v>
      </c>
    </row>
    <row r="12" spans="1:1" x14ac:dyDescent="0.25">
      <c r="A12" s="11" t="s">
        <v>15</v>
      </c>
    </row>
    <row r="13" spans="1:1" x14ac:dyDescent="0.25">
      <c r="A13" s="11" t="s">
        <v>21</v>
      </c>
    </row>
    <row r="14" spans="1:1" x14ac:dyDescent="0.25">
      <c r="A14" s="11" t="s">
        <v>22</v>
      </c>
    </row>
    <row r="15" spans="1:1" x14ac:dyDescent="0.25">
      <c r="A15" s="11" t="s">
        <v>23</v>
      </c>
    </row>
    <row r="16" spans="1:1" x14ac:dyDescent="0.25">
      <c r="A16" s="1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43C1-9E30-4372-9558-63C510490572}">
  <sheetPr codeName="Sheet4"/>
  <dimension ref="A1:C27"/>
  <sheetViews>
    <sheetView topLeftCell="A4" workbookViewId="0">
      <selection activeCell="C2" sqref="C2"/>
    </sheetView>
  </sheetViews>
  <sheetFormatPr defaultRowHeight="15" x14ac:dyDescent="0.25"/>
  <cols>
    <col min="1" max="1" width="9.140625" style="51"/>
    <col min="2" max="2" width="42.42578125" style="5" customWidth="1"/>
    <col min="3" max="3" width="65.42578125" style="5" customWidth="1"/>
    <col min="4" max="16384" width="9.140625" style="51"/>
  </cols>
  <sheetData>
    <row r="1" spans="1:3" ht="45" x14ac:dyDescent="0.25">
      <c r="A1" s="59">
        <v>1</v>
      </c>
      <c r="B1" s="5" t="s">
        <v>24</v>
      </c>
      <c r="C1" s="6" t="s">
        <v>83</v>
      </c>
    </row>
    <row r="2" spans="1:3" ht="90" x14ac:dyDescent="0.25">
      <c r="A2" s="59">
        <v>2</v>
      </c>
      <c r="B2" s="5" t="s">
        <v>25</v>
      </c>
      <c r="C2" s="6" t="s">
        <v>82</v>
      </c>
    </row>
    <row r="3" spans="1:3" ht="120" x14ac:dyDescent="0.25">
      <c r="A3" s="59">
        <v>3</v>
      </c>
      <c r="B3" s="5" t="s">
        <v>26</v>
      </c>
      <c r="C3" s="6" t="s">
        <v>100</v>
      </c>
    </row>
    <row r="4" spans="1:3" ht="35.25" customHeight="1" x14ac:dyDescent="0.25">
      <c r="A4" s="59">
        <v>4</v>
      </c>
      <c r="B4" s="5" t="s">
        <v>27</v>
      </c>
      <c r="C4" s="6" t="s">
        <v>101</v>
      </c>
    </row>
    <row r="5" spans="1:3" x14ac:dyDescent="0.25">
      <c r="A5" s="59">
        <v>5</v>
      </c>
      <c r="B5" s="5" t="s">
        <v>28</v>
      </c>
      <c r="C5" s="5" t="s">
        <v>102</v>
      </c>
    </row>
    <row r="6" spans="1:3" ht="60" x14ac:dyDescent="0.25">
      <c r="A6" s="59">
        <v>6</v>
      </c>
      <c r="B6" s="5" t="s">
        <v>29</v>
      </c>
      <c r="C6" s="6" t="s">
        <v>103</v>
      </c>
    </row>
    <row r="7" spans="1:3" ht="60" x14ac:dyDescent="0.25">
      <c r="A7" s="59">
        <v>7</v>
      </c>
      <c r="B7" s="5" t="s">
        <v>30</v>
      </c>
      <c r="C7" s="6" t="s">
        <v>104</v>
      </c>
    </row>
    <row r="8" spans="1:3" x14ac:dyDescent="0.25">
      <c r="A8" s="59">
        <v>8</v>
      </c>
      <c r="B8" s="5" t="s">
        <v>31</v>
      </c>
      <c r="C8" s="5" t="s">
        <v>51</v>
      </c>
    </row>
    <row r="9" spans="1:3" ht="60" x14ac:dyDescent="0.25">
      <c r="A9" s="59">
        <v>9</v>
      </c>
      <c r="B9" s="5" t="s">
        <v>32</v>
      </c>
      <c r="C9" s="6" t="s">
        <v>158</v>
      </c>
    </row>
    <row r="10" spans="1:3" x14ac:dyDescent="0.25">
      <c r="A10" s="59">
        <v>10</v>
      </c>
      <c r="B10" s="5" t="s">
        <v>33</v>
      </c>
      <c r="C10" s="5" t="s">
        <v>105</v>
      </c>
    </row>
    <row r="11" spans="1:3" x14ac:dyDescent="0.25">
      <c r="A11" s="59">
        <v>11</v>
      </c>
      <c r="B11" s="5" t="s">
        <v>63</v>
      </c>
      <c r="C11" s="5" t="s">
        <v>62</v>
      </c>
    </row>
    <row r="12" spans="1:3" x14ac:dyDescent="0.25">
      <c r="A12" s="59">
        <v>12</v>
      </c>
      <c r="B12" s="5" t="s">
        <v>66</v>
      </c>
      <c r="C12" s="5" t="s">
        <v>67</v>
      </c>
    </row>
    <row r="13" spans="1:3" ht="30" x14ac:dyDescent="0.25">
      <c r="A13" s="59">
        <v>13</v>
      </c>
      <c r="B13" s="5" t="s">
        <v>68</v>
      </c>
      <c r="C13" s="6" t="s">
        <v>110</v>
      </c>
    </row>
    <row r="14" spans="1:3" x14ac:dyDescent="0.25">
      <c r="A14" s="59">
        <v>14</v>
      </c>
      <c r="B14" s="5" t="s">
        <v>69</v>
      </c>
      <c r="C14" s="5" t="s">
        <v>148</v>
      </c>
    </row>
    <row r="15" spans="1:3" ht="21.75" customHeight="1" x14ac:dyDescent="0.25">
      <c r="A15" s="59">
        <v>15</v>
      </c>
      <c r="B15" s="5" t="s">
        <v>149</v>
      </c>
      <c r="C15" s="6" t="s">
        <v>150</v>
      </c>
    </row>
    <row r="16" spans="1:3" ht="45" x14ac:dyDescent="0.25">
      <c r="A16" s="59">
        <v>16</v>
      </c>
      <c r="B16" s="5" t="s">
        <v>70</v>
      </c>
      <c r="C16" s="6" t="s">
        <v>151</v>
      </c>
    </row>
    <row r="17" spans="1:3" ht="60" x14ac:dyDescent="0.25">
      <c r="A17" s="59">
        <v>17</v>
      </c>
      <c r="B17" s="5" t="s">
        <v>71</v>
      </c>
      <c r="C17" s="6" t="s">
        <v>153</v>
      </c>
    </row>
    <row r="18" spans="1:3" x14ac:dyDescent="0.25">
      <c r="A18" s="59">
        <v>18</v>
      </c>
      <c r="B18" s="5" t="s">
        <v>72</v>
      </c>
      <c r="C18" s="5" t="s">
        <v>162</v>
      </c>
    </row>
    <row r="19" spans="1:3" x14ac:dyDescent="0.25">
      <c r="A19" s="59">
        <v>19</v>
      </c>
      <c r="B19" s="5" t="s">
        <v>73</v>
      </c>
      <c r="C19" s="5" t="s">
        <v>165</v>
      </c>
    </row>
    <row r="20" spans="1:3" x14ac:dyDescent="0.25">
      <c r="A20" s="59">
        <v>20</v>
      </c>
      <c r="B20" s="5" t="s">
        <v>74</v>
      </c>
      <c r="C20" s="5" t="s">
        <v>167</v>
      </c>
    </row>
    <row r="21" spans="1:3" x14ac:dyDescent="0.25">
      <c r="A21" s="59">
        <v>21</v>
      </c>
      <c r="B21" s="5" t="s">
        <v>75</v>
      </c>
      <c r="C21" s="5" t="s">
        <v>166</v>
      </c>
    </row>
    <row r="22" spans="1:3" x14ac:dyDescent="0.25">
      <c r="A22" s="59">
        <v>22</v>
      </c>
      <c r="B22" s="5" t="s">
        <v>76</v>
      </c>
      <c r="C22" s="5" t="s">
        <v>176</v>
      </c>
    </row>
    <row r="23" spans="1:3" x14ac:dyDescent="0.25">
      <c r="A23" s="59">
        <v>23</v>
      </c>
      <c r="B23" s="5" t="s">
        <v>77</v>
      </c>
      <c r="C23" s="5" t="s">
        <v>199</v>
      </c>
    </row>
    <row r="24" spans="1:3" x14ac:dyDescent="0.25">
      <c r="A24" s="59">
        <v>24</v>
      </c>
      <c r="B24" s="5" t="s">
        <v>78</v>
      </c>
      <c r="C24" s="5" t="s">
        <v>201</v>
      </c>
    </row>
    <row r="25" spans="1:3" x14ac:dyDescent="0.25">
      <c r="A25" s="59">
        <v>25</v>
      </c>
      <c r="B25" s="5" t="s">
        <v>79</v>
      </c>
      <c r="C25" s="5" t="s">
        <v>202</v>
      </c>
    </row>
    <row r="26" spans="1:3" ht="60" x14ac:dyDescent="0.25">
      <c r="A26" s="59">
        <v>26</v>
      </c>
      <c r="B26" s="5" t="s">
        <v>80</v>
      </c>
      <c r="C26" s="6" t="s">
        <v>209</v>
      </c>
    </row>
    <row r="27" spans="1:3" x14ac:dyDescent="0.25">
      <c r="A27" s="59">
        <v>27</v>
      </c>
      <c r="B27" s="5" t="s">
        <v>81</v>
      </c>
      <c r="C27" s="5" t="s">
        <v>210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D499A-600F-4147-8FE0-4037CE29137B}">
  <sheetPr codeName="Sheet7"/>
  <dimension ref="A1:L359"/>
  <sheetViews>
    <sheetView zoomScale="98" zoomScaleNormal="98" workbookViewId="0">
      <selection activeCell="D5" sqref="D5"/>
    </sheetView>
  </sheetViews>
  <sheetFormatPr defaultRowHeight="15" x14ac:dyDescent="0.25"/>
  <cols>
    <col min="1" max="1" width="5.28515625" bestFit="1" customWidth="1"/>
    <col min="2" max="2" width="16" bestFit="1" customWidth="1"/>
    <col min="3" max="3" width="12.85546875" bestFit="1" customWidth="1"/>
    <col min="4" max="4" width="16.140625" bestFit="1" customWidth="1"/>
    <col min="5" max="5" width="12.42578125" bestFit="1" customWidth="1"/>
    <col min="6" max="6" width="10.85546875" bestFit="1" customWidth="1"/>
    <col min="7" max="7" width="11.28515625" bestFit="1" customWidth="1"/>
    <col min="8" max="8" width="12.7109375" customWidth="1"/>
    <col min="9" max="9" width="11.42578125" customWidth="1"/>
    <col min="10" max="10" width="15.42578125" customWidth="1"/>
    <col min="11" max="11" width="11.42578125" customWidth="1"/>
  </cols>
  <sheetData>
    <row r="1" spans="1:10" x14ac:dyDescent="0.25">
      <c r="A1" s="64" t="s">
        <v>155</v>
      </c>
      <c r="B1" s="64"/>
      <c r="C1" s="64"/>
      <c r="D1" s="64"/>
    </row>
    <row r="2" spans="1:10" s="16" customFormat="1" ht="15.75" x14ac:dyDescent="0.25">
      <c r="A2" s="15" t="s">
        <v>85</v>
      </c>
      <c r="B2" s="15" t="s">
        <v>84</v>
      </c>
      <c r="C2" s="15" t="s">
        <v>37</v>
      </c>
      <c r="D2" s="15" t="s">
        <v>86</v>
      </c>
      <c r="E2" s="15" t="s">
        <v>87</v>
      </c>
      <c r="F2" s="15" t="s">
        <v>88</v>
      </c>
      <c r="G2" s="15" t="s">
        <v>89</v>
      </c>
      <c r="H2" s="15" t="s">
        <v>90</v>
      </c>
      <c r="I2" s="15" t="s">
        <v>91</v>
      </c>
      <c r="J2" s="15" t="s">
        <v>92</v>
      </c>
    </row>
    <row r="3" spans="1:10" x14ac:dyDescent="0.25">
      <c r="A3" s="11">
        <v>1</v>
      </c>
      <c r="B3" s="11" t="s">
        <v>93</v>
      </c>
      <c r="C3" s="11" t="s">
        <v>42</v>
      </c>
      <c r="D3" s="17">
        <v>42030</v>
      </c>
      <c r="E3" s="11">
        <v>1500</v>
      </c>
      <c r="F3" s="11">
        <v>1200</v>
      </c>
      <c r="G3" s="11">
        <v>1500</v>
      </c>
      <c r="H3" s="13">
        <f>SUM(E3,F3,G3)</f>
        <v>4200</v>
      </c>
      <c r="I3" s="28">
        <f>AVERAGE(E3,F3,G3)</f>
        <v>1400</v>
      </c>
      <c r="J3" s="11" t="str">
        <f>_xlfn.CONCAT(B3, "  ", C3)</f>
        <v>RNM  Kumar</v>
      </c>
    </row>
    <row r="4" spans="1:10" x14ac:dyDescent="0.25">
      <c r="A4" s="11">
        <v>2</v>
      </c>
      <c r="B4" s="11" t="s">
        <v>16</v>
      </c>
      <c r="C4" s="11" t="s">
        <v>94</v>
      </c>
      <c r="D4" s="17">
        <v>42954</v>
      </c>
      <c r="E4" s="11">
        <v>1700</v>
      </c>
      <c r="F4" s="11">
        <v>1800</v>
      </c>
      <c r="G4" s="11">
        <v>2000</v>
      </c>
      <c r="H4" s="13">
        <f t="shared" ref="H4:H7" si="0">SUM(E4,F4,G4)</f>
        <v>5500</v>
      </c>
      <c r="I4" s="28">
        <f t="shared" ref="I4:I7" si="1">AVERAGE(E4,F4,G4)</f>
        <v>1833.3333333333333</v>
      </c>
      <c r="J4" s="11" t="str">
        <f t="shared" ref="J4:J7" si="2">_xlfn.CONCAT(B4, "  ", C4)</f>
        <v>Gopal  Verma</v>
      </c>
    </row>
    <row r="5" spans="1:10" x14ac:dyDescent="0.25">
      <c r="A5" s="11">
        <v>3</v>
      </c>
      <c r="B5" s="11" t="s">
        <v>95</v>
      </c>
      <c r="C5" s="11" t="s">
        <v>96</v>
      </c>
      <c r="D5" s="17">
        <v>40976</v>
      </c>
      <c r="E5" s="11">
        <v>1800</v>
      </c>
      <c r="F5" s="11">
        <v>1500</v>
      </c>
      <c r="G5" s="11">
        <v>1900</v>
      </c>
      <c r="H5" s="13">
        <f t="shared" si="0"/>
        <v>5200</v>
      </c>
      <c r="I5" s="28">
        <f t="shared" si="1"/>
        <v>1733.3333333333333</v>
      </c>
      <c r="J5" s="11" t="str">
        <f t="shared" si="2"/>
        <v>Joseph  Paul</v>
      </c>
    </row>
    <row r="6" spans="1:10" x14ac:dyDescent="0.25">
      <c r="A6" s="11">
        <v>4</v>
      </c>
      <c r="B6" s="11" t="s">
        <v>17</v>
      </c>
      <c r="C6" s="11" t="s">
        <v>97</v>
      </c>
      <c r="D6" s="17">
        <v>43402</v>
      </c>
      <c r="E6" s="11">
        <v>1200</v>
      </c>
      <c r="F6" s="11">
        <v>1500</v>
      </c>
      <c r="G6" s="11">
        <v>1800</v>
      </c>
      <c r="H6" s="13">
        <f t="shared" si="0"/>
        <v>4500</v>
      </c>
      <c r="I6" s="28">
        <f t="shared" si="1"/>
        <v>1500</v>
      </c>
      <c r="J6" s="11" t="str">
        <f t="shared" si="2"/>
        <v>Hari  Singh</v>
      </c>
    </row>
    <row r="7" spans="1:10" x14ac:dyDescent="0.25">
      <c r="A7" s="11">
        <v>6</v>
      </c>
      <c r="B7" s="11" t="s">
        <v>98</v>
      </c>
      <c r="C7" s="11" t="s">
        <v>99</v>
      </c>
      <c r="D7" s="17">
        <v>40976</v>
      </c>
      <c r="E7" s="11">
        <v>2000</v>
      </c>
      <c r="F7" s="11">
        <v>2500</v>
      </c>
      <c r="G7" s="11">
        <v>2900</v>
      </c>
      <c r="H7" s="13">
        <f t="shared" si="0"/>
        <v>7400</v>
      </c>
      <c r="I7" s="28">
        <f t="shared" si="1"/>
        <v>2466.6666666666665</v>
      </c>
      <c r="J7" s="11" t="str">
        <f t="shared" si="2"/>
        <v>Raja  Ram</v>
      </c>
    </row>
    <row r="8" spans="1:10" x14ac:dyDescent="0.25">
      <c r="A8" s="1"/>
      <c r="B8" s="1"/>
      <c r="C8" s="1"/>
      <c r="D8" s="24"/>
      <c r="E8" s="1"/>
      <c r="F8" s="1"/>
      <c r="G8" s="1"/>
      <c r="H8" s="8"/>
      <c r="I8" s="32"/>
      <c r="J8" s="1"/>
    </row>
    <row r="9" spans="1:10" x14ac:dyDescent="0.25">
      <c r="A9" s="1"/>
      <c r="B9" s="1"/>
      <c r="C9" s="1"/>
      <c r="D9" s="24"/>
      <c r="E9" s="1"/>
      <c r="F9" s="1"/>
      <c r="G9" s="1"/>
      <c r="H9" s="8"/>
      <c r="I9" s="32"/>
      <c r="J9" s="1"/>
    </row>
    <row r="10" spans="1:10" x14ac:dyDescent="0.25">
      <c r="A10" s="65" t="s">
        <v>156</v>
      </c>
      <c r="B10" s="65"/>
      <c r="C10" s="1"/>
      <c r="D10" s="24"/>
      <c r="E10" s="1"/>
      <c r="F10" s="1"/>
      <c r="G10" s="1"/>
      <c r="H10" s="1"/>
      <c r="I10" s="25"/>
      <c r="J10" s="1"/>
    </row>
    <row r="11" spans="1:10" s="30" customFormat="1" ht="15.75" x14ac:dyDescent="0.25">
      <c r="A11" s="15" t="s">
        <v>85</v>
      </c>
      <c r="B11" s="15" t="s">
        <v>84</v>
      </c>
      <c r="C11" s="15" t="s">
        <v>37</v>
      </c>
      <c r="D11" s="15" t="s">
        <v>86</v>
      </c>
      <c r="E11" s="15" t="s">
        <v>87</v>
      </c>
      <c r="F11" s="15" t="s">
        <v>88</v>
      </c>
      <c r="G11" s="15" t="s">
        <v>89</v>
      </c>
      <c r="H11" s="15" t="s">
        <v>90</v>
      </c>
    </row>
    <row r="12" spans="1:10" ht="15.75" x14ac:dyDescent="0.25">
      <c r="A12" s="11">
        <v>6</v>
      </c>
      <c r="B12" s="26" t="s">
        <v>98</v>
      </c>
      <c r="C12" s="11" t="s">
        <v>99</v>
      </c>
      <c r="D12" s="17">
        <v>40976</v>
      </c>
      <c r="E12" s="11">
        <v>2000</v>
      </c>
      <c r="F12" s="11">
        <v>2500</v>
      </c>
      <c r="G12" s="11">
        <v>2900</v>
      </c>
      <c r="H12" s="14">
        <f>SUM(E12,F12,G12)</f>
        <v>7400</v>
      </c>
      <c r="I12" s="29"/>
    </row>
    <row r="13" spans="1:10" ht="15.75" x14ac:dyDescent="0.25">
      <c r="A13" s="11">
        <v>2</v>
      </c>
      <c r="B13" s="26" t="s">
        <v>16</v>
      </c>
      <c r="C13" s="11" t="s">
        <v>94</v>
      </c>
      <c r="D13" s="17">
        <v>42954</v>
      </c>
      <c r="E13" s="11">
        <v>1700</v>
      </c>
      <c r="F13" s="11">
        <v>1800</v>
      </c>
      <c r="G13" s="11">
        <v>2000</v>
      </c>
      <c r="H13" s="14">
        <f>SUM(E13,F13,G13)</f>
        <v>5500</v>
      </c>
      <c r="I13" s="29"/>
    </row>
    <row r="14" spans="1:10" ht="15.75" x14ac:dyDescent="0.25">
      <c r="A14" s="11">
        <v>3</v>
      </c>
      <c r="B14" s="26" t="s">
        <v>95</v>
      </c>
      <c r="C14" s="11" t="s">
        <v>96</v>
      </c>
      <c r="D14" s="17">
        <v>40976</v>
      </c>
      <c r="E14" s="11">
        <v>1800</v>
      </c>
      <c r="F14" s="11">
        <v>1500</v>
      </c>
      <c r="G14" s="11">
        <v>1900</v>
      </c>
      <c r="H14" s="14">
        <f>SUM(E14,F14,G14)</f>
        <v>5200</v>
      </c>
      <c r="I14" s="29"/>
    </row>
    <row r="15" spans="1:10" ht="15.75" x14ac:dyDescent="0.25">
      <c r="A15" s="11">
        <v>4</v>
      </c>
      <c r="B15" s="26" t="s">
        <v>17</v>
      </c>
      <c r="C15" s="11" t="s">
        <v>97</v>
      </c>
      <c r="D15" s="17">
        <v>43402</v>
      </c>
      <c r="E15" s="11">
        <v>1200</v>
      </c>
      <c r="F15" s="11">
        <v>1500</v>
      </c>
      <c r="G15" s="11">
        <v>1800</v>
      </c>
      <c r="H15" s="14">
        <f>SUM(E15,F15,G15)</f>
        <v>4500</v>
      </c>
      <c r="I15" s="29"/>
    </row>
    <row r="16" spans="1:10" ht="15.75" x14ac:dyDescent="0.25">
      <c r="A16" s="11">
        <v>1</v>
      </c>
      <c r="B16" s="26" t="s">
        <v>93</v>
      </c>
      <c r="C16" s="11" t="s">
        <v>42</v>
      </c>
      <c r="D16" s="17">
        <v>42030</v>
      </c>
      <c r="E16" s="11">
        <v>1500</v>
      </c>
      <c r="F16" s="11">
        <v>1200</v>
      </c>
      <c r="G16" s="11">
        <v>1500</v>
      </c>
      <c r="H16" s="14">
        <f>SUM(E16,F16,G16)</f>
        <v>4200</v>
      </c>
      <c r="I16" s="29"/>
    </row>
    <row r="17" spans="1:10" x14ac:dyDescent="0.25">
      <c r="A17" s="1"/>
      <c r="B17" s="1"/>
      <c r="C17" s="1"/>
      <c r="D17" s="24"/>
      <c r="E17" s="1"/>
      <c r="F17" s="1"/>
      <c r="G17" s="1"/>
      <c r="H17" s="1"/>
      <c r="I17" s="25"/>
      <c r="J17" s="1"/>
    </row>
    <row r="18" spans="1:10" x14ac:dyDescent="0.25">
      <c r="A18" s="65" t="s">
        <v>211</v>
      </c>
      <c r="B18" s="65"/>
      <c r="C18" s="65"/>
      <c r="D18" s="24"/>
      <c r="E18" s="1"/>
      <c r="F18" s="1"/>
      <c r="G18" s="1"/>
      <c r="H18" s="1"/>
      <c r="I18" s="25"/>
      <c r="J18" s="1"/>
    </row>
    <row r="19" spans="1:10" ht="15.75" x14ac:dyDescent="0.25">
      <c r="A19" s="15" t="s">
        <v>85</v>
      </c>
      <c r="B19" s="15" t="s">
        <v>84</v>
      </c>
      <c r="C19" s="15" t="s">
        <v>37</v>
      </c>
      <c r="D19" s="15" t="s">
        <v>86</v>
      </c>
      <c r="E19" s="15" t="s">
        <v>87</v>
      </c>
      <c r="F19" s="15" t="s">
        <v>88</v>
      </c>
      <c r="G19" s="15" t="s">
        <v>89</v>
      </c>
      <c r="H19" s="15" t="s">
        <v>90</v>
      </c>
      <c r="I19" s="15" t="s">
        <v>91</v>
      </c>
      <c r="J19" s="15" t="s">
        <v>92</v>
      </c>
    </row>
    <row r="20" spans="1:10" x14ac:dyDescent="0.25">
      <c r="A20" s="11">
        <v>6</v>
      </c>
      <c r="B20" s="11" t="s">
        <v>98</v>
      </c>
      <c r="C20" s="11" t="s">
        <v>99</v>
      </c>
      <c r="D20" s="17">
        <v>40976</v>
      </c>
      <c r="E20" s="11">
        <v>2000</v>
      </c>
      <c r="F20" s="11">
        <v>2500</v>
      </c>
      <c r="G20" s="11">
        <v>2900</v>
      </c>
      <c r="H20" s="13">
        <f>SUM(E20,F20,G20)</f>
        <v>7400</v>
      </c>
      <c r="I20" s="28">
        <f>AVERAGE(E20,F20,G20)</f>
        <v>2466.6666666666665</v>
      </c>
      <c r="J20" s="11" t="str">
        <f>_xlfn.CONCAT(B20, "  ", C20)</f>
        <v>Raja  Ram</v>
      </c>
    </row>
    <row r="21" spans="1:10" x14ac:dyDescent="0.25">
      <c r="A21" s="11">
        <v>2</v>
      </c>
      <c r="B21" s="11" t="s">
        <v>16</v>
      </c>
      <c r="C21" s="11" t="s">
        <v>94</v>
      </c>
      <c r="D21" s="17">
        <v>42954</v>
      </c>
      <c r="E21" s="11">
        <v>1700</v>
      </c>
      <c r="F21" s="11">
        <v>1800</v>
      </c>
      <c r="G21" s="11">
        <v>2000</v>
      </c>
      <c r="H21" s="13">
        <f>SUM(E21,F21,G21)</f>
        <v>5500</v>
      </c>
      <c r="I21" s="28">
        <f>AVERAGE(E21,F21,G21)</f>
        <v>1833.3333333333333</v>
      </c>
      <c r="J21" s="11" t="str">
        <f>_xlfn.CONCAT(B21, "  ", C21)</f>
        <v>Gopal  Verma</v>
      </c>
    </row>
    <row r="22" spans="1:10" x14ac:dyDescent="0.25">
      <c r="A22" s="11">
        <v>3</v>
      </c>
      <c r="B22" s="11" t="s">
        <v>95</v>
      </c>
      <c r="C22" s="11" t="s">
        <v>96</v>
      </c>
      <c r="D22" s="17">
        <v>40976</v>
      </c>
      <c r="E22" s="11">
        <v>1800</v>
      </c>
      <c r="F22" s="11">
        <v>1500</v>
      </c>
      <c r="G22" s="11">
        <v>1900</v>
      </c>
      <c r="H22" s="13">
        <f>SUM(E22,F22,G22)</f>
        <v>5200</v>
      </c>
      <c r="I22" s="28">
        <f>AVERAGE(E22,F22,G22)</f>
        <v>1733.3333333333333</v>
      </c>
      <c r="J22" s="11" t="str">
        <f>_xlfn.CONCAT(B22, "  ", C22)</f>
        <v>Joseph  Paul</v>
      </c>
    </row>
    <row r="23" spans="1:10" x14ac:dyDescent="0.25">
      <c r="A23" s="11">
        <v>4</v>
      </c>
      <c r="B23" s="11" t="s">
        <v>17</v>
      </c>
      <c r="C23" s="11" t="s">
        <v>97</v>
      </c>
      <c r="D23" s="17">
        <v>43402</v>
      </c>
      <c r="E23" s="11">
        <v>1200</v>
      </c>
      <c r="F23" s="11">
        <v>1500</v>
      </c>
      <c r="G23" s="11">
        <v>1800</v>
      </c>
      <c r="H23" s="13">
        <f>SUM(E23,F23,G23)</f>
        <v>4500</v>
      </c>
      <c r="I23" s="28">
        <f>AVERAGE(E23,F23,G23)</f>
        <v>1500</v>
      </c>
      <c r="J23" s="11" t="str">
        <f>_xlfn.CONCAT(B23, "  ", C23)</f>
        <v>Hari  Singh</v>
      </c>
    </row>
    <row r="24" spans="1:10" x14ac:dyDescent="0.25">
      <c r="A24" s="11">
        <v>1</v>
      </c>
      <c r="B24" s="11" t="s">
        <v>93</v>
      </c>
      <c r="C24" s="11" t="s">
        <v>42</v>
      </c>
      <c r="D24" s="17">
        <v>42030</v>
      </c>
      <c r="E24" s="11">
        <v>1500</v>
      </c>
      <c r="F24" s="11">
        <v>1200</v>
      </c>
      <c r="G24" s="11">
        <v>1500</v>
      </c>
      <c r="H24" s="13">
        <f>SUM(E24,F24,G24)</f>
        <v>4200</v>
      </c>
      <c r="I24" s="28">
        <f>AVERAGE(E24,F24,G24)</f>
        <v>1400</v>
      </c>
      <c r="J24" s="11" t="str">
        <f>_xlfn.CONCAT(B24, "  ", C24)</f>
        <v>RNM  Kumar</v>
      </c>
    </row>
    <row r="25" spans="1:10" x14ac:dyDescent="0.25">
      <c r="A25" s="1"/>
      <c r="B25" s="1"/>
      <c r="C25" s="1"/>
      <c r="D25" s="24"/>
      <c r="E25" s="1"/>
      <c r="F25" s="1"/>
      <c r="G25" s="1"/>
      <c r="H25" s="8"/>
      <c r="I25" s="32"/>
      <c r="J25" s="1"/>
    </row>
    <row r="26" spans="1:10" x14ac:dyDescent="0.25">
      <c r="A26" s="1"/>
      <c r="B26" s="1"/>
      <c r="C26" s="1"/>
      <c r="D26" s="24"/>
      <c r="E26" s="1"/>
      <c r="F26" s="1"/>
      <c r="G26" s="1"/>
      <c r="H26" s="8"/>
      <c r="I26" s="32"/>
      <c r="J26" s="1"/>
    </row>
    <row r="27" spans="1:10" x14ac:dyDescent="0.25">
      <c r="A27" s="65" t="s">
        <v>157</v>
      </c>
      <c r="B27" s="65"/>
      <c r="C27" s="65"/>
      <c r="D27" s="65"/>
      <c r="E27" s="1"/>
      <c r="F27" s="1"/>
      <c r="G27" s="1"/>
      <c r="H27" s="8"/>
      <c r="I27" s="32"/>
      <c r="J27" s="1"/>
    </row>
    <row r="28" spans="1:10" ht="15.75" x14ac:dyDescent="0.25">
      <c r="A28" s="15" t="s">
        <v>85</v>
      </c>
      <c r="B28" s="15" t="s">
        <v>84</v>
      </c>
      <c r="C28" s="15" t="s">
        <v>37</v>
      </c>
      <c r="D28" s="15" t="s">
        <v>86</v>
      </c>
      <c r="E28" s="15" t="s">
        <v>87</v>
      </c>
      <c r="F28" s="15" t="s">
        <v>88</v>
      </c>
      <c r="G28" s="15" t="s">
        <v>89</v>
      </c>
      <c r="H28" s="15" t="s">
        <v>90</v>
      </c>
      <c r="I28" s="15" t="s">
        <v>91</v>
      </c>
      <c r="J28" s="15" t="s">
        <v>92</v>
      </c>
    </row>
    <row r="29" spans="1:10" x14ac:dyDescent="0.25">
      <c r="A29" s="11">
        <v>1</v>
      </c>
      <c r="B29" s="11" t="s">
        <v>93</v>
      </c>
      <c r="C29" s="11" t="s">
        <v>42</v>
      </c>
      <c r="D29" s="17">
        <v>42030</v>
      </c>
      <c r="E29" s="11">
        <v>1500</v>
      </c>
      <c r="F29" s="11">
        <v>1200</v>
      </c>
      <c r="G29" s="11">
        <v>1500</v>
      </c>
      <c r="H29" s="11">
        <f>SUM(E29,F29,G29)</f>
        <v>4200</v>
      </c>
      <c r="I29" s="27">
        <f>AVERAGE(E29,F29,G29)</f>
        <v>1400</v>
      </c>
      <c r="J29" s="11" t="str">
        <f>_xlfn.CONCAT(B29, "  ", C29)</f>
        <v>RNM  Kumar</v>
      </c>
    </row>
    <row r="30" spans="1:10" x14ac:dyDescent="0.25">
      <c r="A30" s="11">
        <v>2</v>
      </c>
      <c r="B30" s="11" t="s">
        <v>16</v>
      </c>
      <c r="C30" s="11" t="s">
        <v>94</v>
      </c>
      <c r="D30" s="17">
        <v>42954</v>
      </c>
      <c r="E30" s="11">
        <v>1700</v>
      </c>
      <c r="F30" s="11">
        <v>1800</v>
      </c>
      <c r="G30" s="11">
        <v>2000</v>
      </c>
      <c r="H30" s="11">
        <f t="shared" ref="H30:H34" si="3">SUM(E30,F30,G30)</f>
        <v>5500</v>
      </c>
      <c r="I30" s="27">
        <f t="shared" ref="I30:I34" si="4">AVERAGE(E30,F30,G30)</f>
        <v>1833.3333333333333</v>
      </c>
      <c r="J30" s="11" t="str">
        <f t="shared" ref="J30:J34" si="5">_xlfn.CONCAT(B30, "  ", C30)</f>
        <v>Gopal  Verma</v>
      </c>
    </row>
    <row r="31" spans="1:10" x14ac:dyDescent="0.25">
      <c r="A31" s="11">
        <v>3</v>
      </c>
      <c r="B31" s="11" t="s">
        <v>95</v>
      </c>
      <c r="C31" s="11" t="s">
        <v>96</v>
      </c>
      <c r="D31" s="17">
        <v>40976</v>
      </c>
      <c r="E31" s="11">
        <v>1800</v>
      </c>
      <c r="F31" s="11">
        <v>1500</v>
      </c>
      <c r="G31" s="11">
        <v>1900</v>
      </c>
      <c r="H31" s="11">
        <f t="shared" si="3"/>
        <v>5200</v>
      </c>
      <c r="I31" s="27">
        <f t="shared" si="4"/>
        <v>1733.3333333333333</v>
      </c>
      <c r="J31" s="11" t="str">
        <f t="shared" si="5"/>
        <v>Joseph  Paul</v>
      </c>
    </row>
    <row r="32" spans="1:10" x14ac:dyDescent="0.25">
      <c r="A32" s="11">
        <v>4</v>
      </c>
      <c r="B32" s="11" t="s">
        <v>17</v>
      </c>
      <c r="C32" s="11" t="s">
        <v>97</v>
      </c>
      <c r="D32" s="17">
        <v>43402</v>
      </c>
      <c r="E32" s="11">
        <v>1200</v>
      </c>
      <c r="F32" s="11">
        <v>1500</v>
      </c>
      <c r="G32" s="11">
        <v>1800</v>
      </c>
      <c r="H32" s="11">
        <f t="shared" si="3"/>
        <v>4500</v>
      </c>
      <c r="I32" s="27">
        <f t="shared" si="4"/>
        <v>1500</v>
      </c>
      <c r="J32" s="11" t="str">
        <f t="shared" si="5"/>
        <v>Hari  Singh</v>
      </c>
    </row>
    <row r="33" spans="1:10" x14ac:dyDescent="0.25">
      <c r="A33" s="11">
        <v>5</v>
      </c>
      <c r="B33" s="11" t="s">
        <v>93</v>
      </c>
      <c r="C33" s="11" t="s">
        <v>42</v>
      </c>
      <c r="D33" s="17">
        <v>42030</v>
      </c>
      <c r="E33" s="11">
        <v>1500</v>
      </c>
      <c r="F33" s="11">
        <v>1200</v>
      </c>
      <c r="G33" s="11">
        <v>1500</v>
      </c>
      <c r="H33" s="11">
        <f>SUM(E33,F33,G33)</f>
        <v>4200</v>
      </c>
      <c r="I33" s="27">
        <f>AVERAGE(E33,F33,G33)</f>
        <v>1400</v>
      </c>
      <c r="J33" s="11" t="str">
        <f>_xlfn.CONCAT(B33, "  ", C33)</f>
        <v>RNM  Kumar</v>
      </c>
    </row>
    <row r="34" spans="1:10" s="2" customFormat="1" x14ac:dyDescent="0.25">
      <c r="A34" s="11">
        <v>6</v>
      </c>
      <c r="B34" s="11" t="s">
        <v>98</v>
      </c>
      <c r="C34" s="11" t="s">
        <v>99</v>
      </c>
      <c r="D34" s="17">
        <v>40976</v>
      </c>
      <c r="E34" s="11">
        <v>2000</v>
      </c>
      <c r="F34" s="11">
        <v>2500</v>
      </c>
      <c r="G34" s="11">
        <v>2900</v>
      </c>
      <c r="H34" s="11">
        <f t="shared" si="3"/>
        <v>7400</v>
      </c>
      <c r="I34" s="27">
        <f t="shared" si="4"/>
        <v>2466.6666666666665</v>
      </c>
      <c r="J34" s="11" t="str">
        <f t="shared" si="5"/>
        <v>Raja  Ram</v>
      </c>
    </row>
    <row r="35" spans="1:10" s="2" customFormat="1" x14ac:dyDescent="0.25">
      <c r="A35" s="1"/>
      <c r="B35" s="1"/>
      <c r="C35" s="1"/>
      <c r="D35" s="24"/>
      <c r="E35" s="1"/>
      <c r="F35" s="1"/>
      <c r="G35" s="1"/>
      <c r="H35" s="1"/>
      <c r="I35" s="25"/>
      <c r="J35" s="1"/>
    </row>
    <row r="36" spans="1:10" s="2" customFormat="1" ht="21" x14ac:dyDescent="0.25">
      <c r="A36" s="66" t="s">
        <v>159</v>
      </c>
      <c r="B36" s="66"/>
      <c r="C36" s="66"/>
      <c r="D36" s="66"/>
      <c r="E36" s="66"/>
      <c r="F36" s="66"/>
      <c r="G36" s="66"/>
      <c r="H36" s="66"/>
      <c r="I36" s="25"/>
      <c r="J36" s="1"/>
    </row>
    <row r="37" spans="1:10" s="2" customFormat="1" x14ac:dyDescent="0.25"/>
    <row r="38" spans="1:10" x14ac:dyDescent="0.25">
      <c r="B38" s="67" t="s">
        <v>107</v>
      </c>
      <c r="C38" s="68"/>
      <c r="D38" s="68"/>
      <c r="E38" s="69"/>
    </row>
    <row r="39" spans="1:10" x14ac:dyDescent="0.25">
      <c r="B39" s="31" t="s">
        <v>106</v>
      </c>
      <c r="C39" s="31" t="s">
        <v>107</v>
      </c>
      <c r="D39" s="31" t="s">
        <v>108</v>
      </c>
      <c r="E39" s="31" t="s">
        <v>109</v>
      </c>
    </row>
    <row r="40" spans="1:10" x14ac:dyDescent="0.25">
      <c r="B40" s="11">
        <v>1400.3333</v>
      </c>
      <c r="C40" s="11">
        <f>ROUND(B40,0)</f>
        <v>1400</v>
      </c>
      <c r="D40" s="11">
        <f>ROUNDUP(B40,0)</f>
        <v>1401</v>
      </c>
      <c r="E40" s="11">
        <f>ROUNDDOWN(B40,0)</f>
        <v>1400</v>
      </c>
    </row>
    <row r="41" spans="1:10" x14ac:dyDescent="0.25">
      <c r="B41" s="11">
        <v>1833.3330000000001</v>
      </c>
      <c r="C41" s="11">
        <f>ROUND(B41,2)</f>
        <v>1833.33</v>
      </c>
      <c r="D41" s="11">
        <f t="shared" ref="D41:D44" si="6">ROUNDUP(B41,0)</f>
        <v>1834</v>
      </c>
      <c r="E41" s="11">
        <f t="shared" ref="E41:E44" si="7">ROUNDDOWN(B41,0)</f>
        <v>1833</v>
      </c>
    </row>
    <row r="42" spans="1:10" x14ac:dyDescent="0.25">
      <c r="B42" s="11">
        <v>1733.33</v>
      </c>
      <c r="C42" s="11">
        <f>ROUND(B42,1)</f>
        <v>1733.3</v>
      </c>
      <c r="D42" s="11">
        <f t="shared" si="6"/>
        <v>1734</v>
      </c>
      <c r="E42" s="11">
        <f t="shared" si="7"/>
        <v>1733</v>
      </c>
    </row>
    <row r="43" spans="1:10" x14ac:dyDescent="0.25">
      <c r="B43" s="11">
        <v>1500</v>
      </c>
      <c r="C43" s="11">
        <f>ROUND(B43,0)</f>
        <v>1500</v>
      </c>
      <c r="D43" s="11">
        <f t="shared" si="6"/>
        <v>1500</v>
      </c>
      <c r="E43" s="11">
        <f t="shared" si="7"/>
        <v>1500</v>
      </c>
    </row>
    <row r="44" spans="1:10" x14ac:dyDescent="0.25">
      <c r="B44" s="11">
        <v>2466.777</v>
      </c>
      <c r="C44" s="11">
        <f>ROUND(B44,2)</f>
        <v>2466.7800000000002</v>
      </c>
      <c r="D44" s="11">
        <f t="shared" si="6"/>
        <v>2467</v>
      </c>
      <c r="E44" s="11">
        <f t="shared" si="7"/>
        <v>2466</v>
      </c>
    </row>
    <row r="46" spans="1:10" x14ac:dyDescent="0.25">
      <c r="B46" s="2" t="s">
        <v>154</v>
      </c>
    </row>
    <row r="47" spans="1:10" x14ac:dyDescent="0.25">
      <c r="B47" s="11" t="s">
        <v>111</v>
      </c>
      <c r="C47" s="11" t="s">
        <v>123</v>
      </c>
      <c r="D47" s="11" t="s">
        <v>134</v>
      </c>
      <c r="E47" s="11" t="s">
        <v>141</v>
      </c>
      <c r="F47" s="11">
        <v>1</v>
      </c>
    </row>
    <row r="48" spans="1:10" x14ac:dyDescent="0.25">
      <c r="B48" s="11" t="s">
        <v>112</v>
      </c>
      <c r="C48" s="11" t="s">
        <v>124</v>
      </c>
      <c r="D48" s="11" t="s">
        <v>135</v>
      </c>
      <c r="E48" s="11" t="s">
        <v>142</v>
      </c>
      <c r="F48" s="11">
        <v>2</v>
      </c>
    </row>
    <row r="49" spans="2:9" x14ac:dyDescent="0.25">
      <c r="B49" s="11" t="s">
        <v>113</v>
      </c>
      <c r="C49" s="11" t="s">
        <v>125</v>
      </c>
      <c r="D49" s="11" t="s">
        <v>136</v>
      </c>
      <c r="E49" s="11" t="s">
        <v>143</v>
      </c>
      <c r="F49" s="11">
        <v>3</v>
      </c>
    </row>
    <row r="50" spans="2:9" x14ac:dyDescent="0.25">
      <c r="B50" s="11" t="s">
        <v>114</v>
      </c>
      <c r="C50" s="11" t="s">
        <v>126</v>
      </c>
      <c r="D50" s="11" t="s">
        <v>137</v>
      </c>
      <c r="E50" s="11" t="s">
        <v>144</v>
      </c>
      <c r="F50" s="11">
        <v>4</v>
      </c>
    </row>
    <row r="51" spans="2:9" x14ac:dyDescent="0.25">
      <c r="B51" s="11" t="s">
        <v>115</v>
      </c>
      <c r="C51" s="11" t="s">
        <v>115</v>
      </c>
      <c r="D51" s="11" t="s">
        <v>138</v>
      </c>
      <c r="E51" s="11" t="s">
        <v>145</v>
      </c>
      <c r="F51" s="11">
        <v>5</v>
      </c>
    </row>
    <row r="52" spans="2:9" x14ac:dyDescent="0.25">
      <c r="B52" s="11" t="s">
        <v>116</v>
      </c>
      <c r="C52" s="11" t="s">
        <v>127</v>
      </c>
      <c r="D52" s="11" t="s">
        <v>139</v>
      </c>
      <c r="E52" s="11" t="s">
        <v>146</v>
      </c>
      <c r="F52" s="11">
        <v>6</v>
      </c>
    </row>
    <row r="53" spans="2:9" x14ac:dyDescent="0.25">
      <c r="B53" s="11" t="s">
        <v>117</v>
      </c>
      <c r="C53" s="11" t="s">
        <v>128</v>
      </c>
      <c r="D53" s="11" t="s">
        <v>140</v>
      </c>
      <c r="E53" s="11" t="s">
        <v>147</v>
      </c>
      <c r="F53" s="11">
        <v>7</v>
      </c>
    </row>
    <row r="54" spans="2:9" x14ac:dyDescent="0.25">
      <c r="B54" s="11" t="s">
        <v>118</v>
      </c>
      <c r="C54" s="11" t="s">
        <v>129</v>
      </c>
      <c r="D54" s="11"/>
      <c r="E54" s="11"/>
      <c r="F54" s="11">
        <v>8</v>
      </c>
    </row>
    <row r="55" spans="2:9" x14ac:dyDescent="0.25">
      <c r="B55" s="11" t="s">
        <v>119</v>
      </c>
      <c r="C55" s="11" t="s">
        <v>130</v>
      </c>
      <c r="D55" s="11"/>
      <c r="E55" s="11"/>
      <c r="F55" s="11">
        <v>9</v>
      </c>
    </row>
    <row r="56" spans="2:9" x14ac:dyDescent="0.25">
      <c r="B56" s="11" t="s">
        <v>120</v>
      </c>
      <c r="C56" s="11" t="s">
        <v>131</v>
      </c>
      <c r="D56" s="11"/>
      <c r="E56" s="11"/>
      <c r="F56" s="11">
        <v>10</v>
      </c>
    </row>
    <row r="57" spans="2:9" x14ac:dyDescent="0.25">
      <c r="B57" s="11" t="s">
        <v>121</v>
      </c>
      <c r="C57" s="11" t="s">
        <v>132</v>
      </c>
      <c r="D57" s="11"/>
      <c r="E57" s="11"/>
      <c r="F57" s="11">
        <v>11</v>
      </c>
    </row>
    <row r="58" spans="2:9" x14ac:dyDescent="0.25">
      <c r="B58" s="11" t="s">
        <v>122</v>
      </c>
      <c r="C58" s="11" t="s">
        <v>133</v>
      </c>
      <c r="D58" s="11"/>
      <c r="E58" s="11"/>
      <c r="F58" s="11">
        <v>12</v>
      </c>
    </row>
    <row r="60" spans="2:9" x14ac:dyDescent="0.25">
      <c r="B60" s="63" t="s">
        <v>152</v>
      </c>
      <c r="C60" s="63"/>
      <c r="D60" s="63"/>
      <c r="E60" s="18"/>
      <c r="F60" s="18"/>
      <c r="G60" s="18"/>
      <c r="H60" s="18"/>
      <c r="I60" s="18"/>
    </row>
    <row r="61" spans="2:9" x14ac:dyDescent="0.25">
      <c r="B61" s="13" t="s">
        <v>1</v>
      </c>
      <c r="C61" s="13" t="s">
        <v>2</v>
      </c>
      <c r="D61" s="13" t="s">
        <v>3</v>
      </c>
      <c r="E61" s="13" t="s">
        <v>4</v>
      </c>
      <c r="F61" s="13" t="s">
        <v>57</v>
      </c>
      <c r="G61" s="13" t="s">
        <v>5</v>
      </c>
      <c r="H61" s="13" t="s">
        <v>6</v>
      </c>
      <c r="I61" s="13" t="s">
        <v>7</v>
      </c>
    </row>
    <row r="62" spans="2:9" x14ac:dyDescent="0.25">
      <c r="B62" s="11" t="s">
        <v>17</v>
      </c>
      <c r="C62" s="11" t="s">
        <v>9</v>
      </c>
      <c r="D62" s="19">
        <v>11</v>
      </c>
      <c r="E62" s="11">
        <v>6</v>
      </c>
      <c r="F62" s="11" t="s">
        <v>58</v>
      </c>
      <c r="G62" s="11">
        <v>91</v>
      </c>
      <c r="H62" s="11">
        <v>81</v>
      </c>
      <c r="I62" s="11">
        <v>95</v>
      </c>
    </row>
    <row r="63" spans="2:9" x14ac:dyDescent="0.25">
      <c r="B63" s="11" t="s">
        <v>22</v>
      </c>
      <c r="C63" s="11" t="s">
        <v>14</v>
      </c>
      <c r="D63" s="19">
        <v>11</v>
      </c>
      <c r="E63" s="11">
        <v>6</v>
      </c>
      <c r="F63" s="11" t="s">
        <v>60</v>
      </c>
      <c r="G63" s="11">
        <v>88</v>
      </c>
      <c r="H63" s="11">
        <v>90</v>
      </c>
      <c r="I63" s="11">
        <v>92</v>
      </c>
    </row>
    <row r="64" spans="2:9" x14ac:dyDescent="0.25">
      <c r="B64" s="11" t="s">
        <v>11</v>
      </c>
      <c r="C64" s="11" t="s">
        <v>9</v>
      </c>
      <c r="D64" s="19">
        <v>11</v>
      </c>
      <c r="E64" s="11">
        <v>5</v>
      </c>
      <c r="F64" s="11" t="s">
        <v>59</v>
      </c>
      <c r="G64" s="11">
        <v>82</v>
      </c>
      <c r="H64" s="11">
        <v>83</v>
      </c>
      <c r="I64" s="11">
        <v>91</v>
      </c>
    </row>
    <row r="65" spans="2:9" x14ac:dyDescent="0.25">
      <c r="B65" s="11" t="s">
        <v>15</v>
      </c>
      <c r="C65" s="11" t="s">
        <v>9</v>
      </c>
      <c r="D65" s="11">
        <v>12</v>
      </c>
      <c r="E65" s="11">
        <v>7</v>
      </c>
      <c r="F65" s="11" t="s">
        <v>58</v>
      </c>
      <c r="G65" s="11">
        <v>86</v>
      </c>
      <c r="H65" s="11">
        <v>92</v>
      </c>
      <c r="I65" s="11">
        <v>89</v>
      </c>
    </row>
    <row r="66" spans="2:9" x14ac:dyDescent="0.25">
      <c r="B66" s="11" t="s">
        <v>10</v>
      </c>
      <c r="C66" s="11" t="s">
        <v>14</v>
      </c>
      <c r="D66" s="20">
        <v>14</v>
      </c>
      <c r="E66" s="11">
        <v>8</v>
      </c>
      <c r="F66" s="11" t="s">
        <v>61</v>
      </c>
      <c r="G66" s="11">
        <v>91</v>
      </c>
      <c r="H66" s="11">
        <v>96</v>
      </c>
      <c r="I66" s="11">
        <v>98</v>
      </c>
    </row>
    <row r="67" spans="2:9" x14ac:dyDescent="0.25">
      <c r="B67" s="11" t="s">
        <v>18</v>
      </c>
      <c r="C67" s="11" t="s">
        <v>14</v>
      </c>
      <c r="D67" s="20">
        <v>14</v>
      </c>
      <c r="E67" s="11">
        <v>8</v>
      </c>
      <c r="F67" s="11" t="s">
        <v>59</v>
      </c>
      <c r="G67" s="11">
        <v>90</v>
      </c>
      <c r="H67" s="11">
        <v>86</v>
      </c>
      <c r="I67" s="11">
        <v>89</v>
      </c>
    </row>
    <row r="68" spans="2:9" x14ac:dyDescent="0.25">
      <c r="B68" s="11" t="s">
        <v>16</v>
      </c>
      <c r="C68" s="11" t="s">
        <v>9</v>
      </c>
      <c r="D68" s="20">
        <v>14</v>
      </c>
      <c r="E68" s="11">
        <v>8</v>
      </c>
      <c r="F68" s="11" t="s">
        <v>61</v>
      </c>
      <c r="G68" s="11">
        <v>70</v>
      </c>
      <c r="H68" s="11">
        <v>75</v>
      </c>
      <c r="I68" s="11">
        <v>79</v>
      </c>
    </row>
    <row r="69" spans="2:9" x14ac:dyDescent="0.25">
      <c r="B69" s="11" t="s">
        <v>19</v>
      </c>
      <c r="C69" s="11" t="s">
        <v>9</v>
      </c>
      <c r="D69" s="21">
        <v>15</v>
      </c>
      <c r="E69" s="11">
        <v>9</v>
      </c>
      <c r="F69" s="11" t="s">
        <v>59</v>
      </c>
      <c r="G69" s="11">
        <v>87</v>
      </c>
      <c r="H69" s="11">
        <v>89</v>
      </c>
      <c r="I69" s="11">
        <v>96</v>
      </c>
    </row>
    <row r="70" spans="2:9" x14ac:dyDescent="0.25">
      <c r="B70" s="11" t="s">
        <v>13</v>
      </c>
      <c r="C70" s="11" t="s">
        <v>14</v>
      </c>
      <c r="D70" s="21">
        <v>15</v>
      </c>
      <c r="E70" s="11">
        <v>8</v>
      </c>
      <c r="F70" s="11" t="s">
        <v>60</v>
      </c>
      <c r="G70" s="11">
        <v>81</v>
      </c>
      <c r="H70" s="11">
        <v>78</v>
      </c>
      <c r="I70" s="11">
        <v>88</v>
      </c>
    </row>
    <row r="71" spans="2:9" x14ac:dyDescent="0.25">
      <c r="B71" s="11" t="s">
        <v>12</v>
      </c>
      <c r="C71" s="11" t="s">
        <v>14</v>
      </c>
      <c r="D71" s="22">
        <v>16</v>
      </c>
      <c r="E71" s="11">
        <v>10</v>
      </c>
      <c r="F71" s="11" t="s">
        <v>61</v>
      </c>
      <c r="G71" s="11">
        <v>88</v>
      </c>
      <c r="H71" s="11">
        <v>92</v>
      </c>
      <c r="I71" s="11">
        <v>96</v>
      </c>
    </row>
    <row r="72" spans="2:9" x14ac:dyDescent="0.25">
      <c r="B72" s="11" t="s">
        <v>21</v>
      </c>
      <c r="C72" s="11" t="s">
        <v>14</v>
      </c>
      <c r="D72" s="22">
        <v>16</v>
      </c>
      <c r="E72" s="11">
        <v>10</v>
      </c>
      <c r="F72" s="11" t="s">
        <v>58</v>
      </c>
      <c r="G72" s="11">
        <v>81</v>
      </c>
      <c r="H72" s="11">
        <v>80</v>
      </c>
      <c r="I72" s="11">
        <v>87</v>
      </c>
    </row>
    <row r="73" spans="2:9" x14ac:dyDescent="0.25">
      <c r="B73" s="11" t="s">
        <v>23</v>
      </c>
      <c r="C73" s="11" t="s">
        <v>14</v>
      </c>
      <c r="D73" s="22">
        <v>16</v>
      </c>
      <c r="E73" s="11">
        <v>10</v>
      </c>
      <c r="F73" s="11" t="s">
        <v>60</v>
      </c>
      <c r="G73" s="11">
        <v>70</v>
      </c>
      <c r="H73" s="11">
        <v>87</v>
      </c>
      <c r="I73" s="11">
        <v>85</v>
      </c>
    </row>
    <row r="74" spans="2:9" x14ac:dyDescent="0.25">
      <c r="B74" s="11" t="s">
        <v>8</v>
      </c>
      <c r="C74" s="11" t="s">
        <v>9</v>
      </c>
      <c r="D74" s="22">
        <v>16</v>
      </c>
      <c r="E74" s="11">
        <v>10</v>
      </c>
      <c r="F74" s="11" t="s">
        <v>58</v>
      </c>
      <c r="G74" s="11">
        <v>84</v>
      </c>
      <c r="H74" s="11">
        <v>79</v>
      </c>
      <c r="I74" s="11">
        <v>81</v>
      </c>
    </row>
    <row r="75" spans="2:9" x14ac:dyDescent="0.25">
      <c r="B75" s="11" t="s">
        <v>17</v>
      </c>
      <c r="C75" s="11" t="s">
        <v>9</v>
      </c>
      <c r="D75" s="22">
        <v>16</v>
      </c>
      <c r="E75" s="11">
        <v>10</v>
      </c>
      <c r="F75" s="11" t="s">
        <v>60</v>
      </c>
      <c r="G75" s="11">
        <v>82</v>
      </c>
      <c r="H75" s="11">
        <v>81</v>
      </c>
      <c r="I75" s="11">
        <v>80</v>
      </c>
    </row>
    <row r="76" spans="2:9" x14ac:dyDescent="0.25">
      <c r="B76" s="11" t="s">
        <v>20</v>
      </c>
      <c r="C76" s="11" t="s">
        <v>14</v>
      </c>
      <c r="D76" s="11">
        <v>17</v>
      </c>
      <c r="E76" s="11">
        <v>10</v>
      </c>
      <c r="F76" s="11" t="s">
        <v>60</v>
      </c>
      <c r="G76" s="11">
        <v>70</v>
      </c>
      <c r="H76" s="11">
        <v>90</v>
      </c>
      <c r="I76" s="11">
        <v>92</v>
      </c>
    </row>
    <row r="78" spans="2:9" x14ac:dyDescent="0.25">
      <c r="B78" s="67" t="s">
        <v>160</v>
      </c>
      <c r="C78" s="68"/>
      <c r="D78" s="69"/>
      <c r="E78" s="18"/>
      <c r="F78" s="18"/>
      <c r="G78" s="18"/>
      <c r="H78" s="18"/>
      <c r="I78" s="18"/>
    </row>
    <row r="79" spans="2:9" x14ac:dyDescent="0.25">
      <c r="B79" s="35" t="s">
        <v>1</v>
      </c>
      <c r="C79" s="35" t="s">
        <v>2</v>
      </c>
      <c r="D79" s="35" t="s">
        <v>3</v>
      </c>
      <c r="E79" s="35" t="s">
        <v>4</v>
      </c>
      <c r="F79" s="35" t="s">
        <v>57</v>
      </c>
      <c r="G79" s="35" t="s">
        <v>5</v>
      </c>
      <c r="H79" s="35" t="s">
        <v>6</v>
      </c>
      <c r="I79" s="35" t="s">
        <v>7</v>
      </c>
    </row>
    <row r="80" spans="2:9" x14ac:dyDescent="0.25">
      <c r="B80" s="11" t="s">
        <v>10</v>
      </c>
      <c r="C80" s="11" t="s">
        <v>14</v>
      </c>
      <c r="D80" s="11">
        <v>14</v>
      </c>
      <c r="E80" s="11">
        <v>8</v>
      </c>
      <c r="F80" s="11" t="s">
        <v>61</v>
      </c>
      <c r="G80" s="11">
        <v>91</v>
      </c>
      <c r="H80" s="34">
        <v>96</v>
      </c>
      <c r="I80" s="11">
        <v>98</v>
      </c>
    </row>
    <row r="81" spans="2:9" x14ac:dyDescent="0.25">
      <c r="B81" s="11" t="s">
        <v>12</v>
      </c>
      <c r="C81" s="11" t="s">
        <v>14</v>
      </c>
      <c r="D81" s="11">
        <v>16</v>
      </c>
      <c r="E81" s="11">
        <v>10</v>
      </c>
      <c r="F81" s="11" t="s">
        <v>61</v>
      </c>
      <c r="G81" s="11">
        <v>88</v>
      </c>
      <c r="H81" s="34">
        <v>92</v>
      </c>
      <c r="I81" s="11">
        <v>96</v>
      </c>
    </row>
    <row r="82" spans="2:9" x14ac:dyDescent="0.25">
      <c r="B82" s="11" t="s">
        <v>15</v>
      </c>
      <c r="C82" s="11" t="s">
        <v>9</v>
      </c>
      <c r="D82" s="11">
        <v>12</v>
      </c>
      <c r="E82" s="11">
        <v>7</v>
      </c>
      <c r="F82" s="11" t="s">
        <v>58</v>
      </c>
      <c r="G82" s="11">
        <v>86</v>
      </c>
      <c r="H82" s="34">
        <v>92</v>
      </c>
      <c r="I82" s="11">
        <v>89</v>
      </c>
    </row>
    <row r="83" spans="2:9" x14ac:dyDescent="0.25">
      <c r="B83" s="11" t="s">
        <v>20</v>
      </c>
      <c r="C83" s="11" t="s">
        <v>14</v>
      </c>
      <c r="D83" s="11">
        <v>17</v>
      </c>
      <c r="E83" s="11">
        <v>10</v>
      </c>
      <c r="F83" s="11" t="s">
        <v>60</v>
      </c>
      <c r="G83" s="11">
        <v>70</v>
      </c>
      <c r="H83" s="34">
        <v>90</v>
      </c>
      <c r="I83" s="11">
        <v>92</v>
      </c>
    </row>
    <row r="84" spans="2:9" x14ac:dyDescent="0.25">
      <c r="B84" s="11" t="s">
        <v>22</v>
      </c>
      <c r="C84" s="11" t="s">
        <v>14</v>
      </c>
      <c r="D84" s="11">
        <v>11</v>
      </c>
      <c r="E84" s="11">
        <v>6</v>
      </c>
      <c r="F84" s="11" t="s">
        <v>60</v>
      </c>
      <c r="G84" s="11">
        <v>88</v>
      </c>
      <c r="H84" s="34">
        <v>90</v>
      </c>
      <c r="I84" s="11">
        <v>92</v>
      </c>
    </row>
    <row r="85" spans="2:9" x14ac:dyDescent="0.25">
      <c r="B85" s="11" t="s">
        <v>19</v>
      </c>
      <c r="C85" s="11" t="s">
        <v>9</v>
      </c>
      <c r="D85" s="11">
        <v>15</v>
      </c>
      <c r="E85" s="11">
        <v>9</v>
      </c>
      <c r="F85" s="11" t="s">
        <v>59</v>
      </c>
      <c r="G85" s="11">
        <v>87</v>
      </c>
      <c r="H85" s="34">
        <v>89</v>
      </c>
      <c r="I85" s="11">
        <v>96</v>
      </c>
    </row>
    <row r="86" spans="2:9" x14ac:dyDescent="0.25">
      <c r="B86" s="11" t="s">
        <v>23</v>
      </c>
      <c r="C86" s="11" t="s">
        <v>14</v>
      </c>
      <c r="D86" s="11">
        <v>16</v>
      </c>
      <c r="E86" s="11">
        <v>10</v>
      </c>
      <c r="F86" s="11" t="s">
        <v>60</v>
      </c>
      <c r="G86" s="11">
        <v>70</v>
      </c>
      <c r="H86" s="34">
        <v>87</v>
      </c>
      <c r="I86" s="11">
        <v>85</v>
      </c>
    </row>
    <row r="87" spans="2:9" x14ac:dyDescent="0.25">
      <c r="B87" s="11" t="s">
        <v>18</v>
      </c>
      <c r="C87" s="11" t="s">
        <v>14</v>
      </c>
      <c r="D87" s="11">
        <v>14</v>
      </c>
      <c r="E87" s="11">
        <v>8</v>
      </c>
      <c r="F87" s="11" t="s">
        <v>59</v>
      </c>
      <c r="G87" s="11">
        <v>90</v>
      </c>
      <c r="H87" s="34">
        <v>86</v>
      </c>
      <c r="I87" s="11">
        <v>89</v>
      </c>
    </row>
    <row r="88" spans="2:9" x14ac:dyDescent="0.25">
      <c r="B88" s="11" t="s">
        <v>11</v>
      </c>
      <c r="C88" s="11" t="s">
        <v>9</v>
      </c>
      <c r="D88" s="11">
        <v>11</v>
      </c>
      <c r="E88" s="11">
        <v>5</v>
      </c>
      <c r="F88" s="11" t="s">
        <v>59</v>
      </c>
      <c r="G88" s="11">
        <v>82</v>
      </c>
      <c r="H88" s="34">
        <v>83</v>
      </c>
      <c r="I88" s="11">
        <v>91</v>
      </c>
    </row>
    <row r="89" spans="2:9" x14ac:dyDescent="0.25">
      <c r="B89" s="11" t="s">
        <v>17</v>
      </c>
      <c r="C89" s="11" t="s">
        <v>9</v>
      </c>
      <c r="D89" s="11">
        <v>16</v>
      </c>
      <c r="E89" s="11">
        <v>10</v>
      </c>
      <c r="F89" s="11" t="s">
        <v>60</v>
      </c>
      <c r="G89" s="11">
        <v>82</v>
      </c>
      <c r="H89" s="34">
        <v>81</v>
      </c>
      <c r="I89" s="11">
        <v>80</v>
      </c>
    </row>
    <row r="90" spans="2:9" x14ac:dyDescent="0.25">
      <c r="B90" s="11" t="s">
        <v>17</v>
      </c>
      <c r="C90" s="11" t="s">
        <v>9</v>
      </c>
      <c r="D90" s="11">
        <v>11</v>
      </c>
      <c r="E90" s="11">
        <v>6</v>
      </c>
      <c r="F90" s="11" t="s">
        <v>58</v>
      </c>
      <c r="G90" s="11">
        <v>91</v>
      </c>
      <c r="H90" s="34">
        <v>81</v>
      </c>
      <c r="I90" s="11">
        <v>95</v>
      </c>
    </row>
    <row r="91" spans="2:9" x14ac:dyDescent="0.25">
      <c r="B91" s="11" t="s">
        <v>21</v>
      </c>
      <c r="C91" s="11" t="s">
        <v>14</v>
      </c>
      <c r="D91" s="11">
        <v>16</v>
      </c>
      <c r="E91" s="11">
        <v>10</v>
      </c>
      <c r="F91" s="11" t="s">
        <v>58</v>
      </c>
      <c r="G91" s="11">
        <v>81</v>
      </c>
      <c r="H91" s="34">
        <v>80</v>
      </c>
      <c r="I91" s="11">
        <v>87</v>
      </c>
    </row>
    <row r="92" spans="2:9" x14ac:dyDescent="0.25">
      <c r="B92" s="11" t="s">
        <v>8</v>
      </c>
      <c r="C92" s="11" t="s">
        <v>9</v>
      </c>
      <c r="D92" s="11">
        <v>16</v>
      </c>
      <c r="E92" s="11">
        <v>10</v>
      </c>
      <c r="F92" s="11" t="s">
        <v>58</v>
      </c>
      <c r="G92" s="11">
        <v>84</v>
      </c>
      <c r="H92" s="34">
        <v>79</v>
      </c>
      <c r="I92" s="11">
        <v>81</v>
      </c>
    </row>
    <row r="93" spans="2:9" x14ac:dyDescent="0.25">
      <c r="B93" s="11" t="s">
        <v>13</v>
      </c>
      <c r="C93" s="11" t="s">
        <v>14</v>
      </c>
      <c r="D93" s="11">
        <v>15</v>
      </c>
      <c r="E93" s="11">
        <v>8</v>
      </c>
      <c r="F93" s="11" t="s">
        <v>60</v>
      </c>
      <c r="G93" s="11">
        <v>81</v>
      </c>
      <c r="H93" s="34">
        <v>78</v>
      </c>
      <c r="I93" s="11">
        <v>88</v>
      </c>
    </row>
    <row r="94" spans="2:9" x14ac:dyDescent="0.25">
      <c r="B94" s="11" t="s">
        <v>16</v>
      </c>
      <c r="C94" s="11" t="s">
        <v>9</v>
      </c>
      <c r="D94" s="11">
        <v>14</v>
      </c>
      <c r="E94" s="11">
        <v>8</v>
      </c>
      <c r="F94" s="11" t="s">
        <v>61</v>
      </c>
      <c r="G94" s="11">
        <v>70</v>
      </c>
      <c r="H94" s="34">
        <v>75</v>
      </c>
      <c r="I94" s="11">
        <v>79</v>
      </c>
    </row>
    <row r="97" spans="2:9" x14ac:dyDescent="0.25">
      <c r="B97" s="13" t="s">
        <v>1</v>
      </c>
      <c r="C97" s="13" t="s">
        <v>2</v>
      </c>
      <c r="D97" s="13" t="s">
        <v>3</v>
      </c>
      <c r="E97" s="13" t="s">
        <v>4</v>
      </c>
      <c r="F97" s="13" t="s">
        <v>57</v>
      </c>
      <c r="G97" s="13" t="s">
        <v>5</v>
      </c>
      <c r="H97" s="13" t="s">
        <v>6</v>
      </c>
      <c r="I97" s="13" t="s">
        <v>7</v>
      </c>
    </row>
    <row r="98" spans="2:9" x14ac:dyDescent="0.25">
      <c r="B98" s="11" t="s">
        <v>13</v>
      </c>
      <c r="C98" s="34" t="s">
        <v>14</v>
      </c>
      <c r="D98" s="11">
        <v>15</v>
      </c>
      <c r="E98" s="11">
        <v>8</v>
      </c>
      <c r="F98" s="11" t="s">
        <v>60</v>
      </c>
      <c r="G98" s="11">
        <v>81</v>
      </c>
      <c r="H98" s="11">
        <v>78</v>
      </c>
      <c r="I98" s="11">
        <v>88</v>
      </c>
    </row>
    <row r="99" spans="2:9" x14ac:dyDescent="0.25">
      <c r="B99" s="11" t="s">
        <v>12</v>
      </c>
      <c r="C99" s="34" t="s">
        <v>14</v>
      </c>
      <c r="D99" s="11">
        <v>16</v>
      </c>
      <c r="E99" s="11">
        <v>10</v>
      </c>
      <c r="F99" s="11" t="s">
        <v>61</v>
      </c>
      <c r="G99" s="11">
        <v>88</v>
      </c>
      <c r="H99" s="11">
        <v>92</v>
      </c>
      <c r="I99" s="11">
        <v>96</v>
      </c>
    </row>
    <row r="100" spans="2:9" x14ac:dyDescent="0.25">
      <c r="B100" s="11" t="s">
        <v>18</v>
      </c>
      <c r="C100" s="34" t="s">
        <v>14</v>
      </c>
      <c r="D100" s="11">
        <v>14</v>
      </c>
      <c r="E100" s="11">
        <v>8</v>
      </c>
      <c r="F100" s="11" t="s">
        <v>59</v>
      </c>
      <c r="G100" s="11">
        <v>90</v>
      </c>
      <c r="H100" s="11">
        <v>86</v>
      </c>
      <c r="I100" s="11">
        <v>89</v>
      </c>
    </row>
    <row r="101" spans="2:9" x14ac:dyDescent="0.25">
      <c r="B101" s="11" t="s">
        <v>20</v>
      </c>
      <c r="C101" s="34" t="s">
        <v>14</v>
      </c>
      <c r="D101" s="11">
        <v>17</v>
      </c>
      <c r="E101" s="11">
        <v>10</v>
      </c>
      <c r="F101" s="11" t="s">
        <v>60</v>
      </c>
      <c r="G101" s="11">
        <v>70</v>
      </c>
      <c r="H101" s="11">
        <v>90</v>
      </c>
      <c r="I101" s="11">
        <v>92</v>
      </c>
    </row>
    <row r="102" spans="2:9" x14ac:dyDescent="0.25">
      <c r="B102" s="11" t="s">
        <v>21</v>
      </c>
      <c r="C102" s="34" t="s">
        <v>14</v>
      </c>
      <c r="D102" s="11">
        <v>16</v>
      </c>
      <c r="E102" s="11">
        <v>10</v>
      </c>
      <c r="F102" s="11" t="s">
        <v>58</v>
      </c>
      <c r="G102" s="11">
        <v>81</v>
      </c>
      <c r="H102" s="11">
        <v>80</v>
      </c>
      <c r="I102" s="11">
        <v>87</v>
      </c>
    </row>
    <row r="103" spans="2:9" x14ac:dyDescent="0.25">
      <c r="B103" s="11" t="s">
        <v>22</v>
      </c>
      <c r="C103" s="34" t="s">
        <v>14</v>
      </c>
      <c r="D103" s="11">
        <v>11</v>
      </c>
      <c r="E103" s="11">
        <v>6</v>
      </c>
      <c r="F103" s="11" t="s">
        <v>60</v>
      </c>
      <c r="G103" s="11">
        <v>88</v>
      </c>
      <c r="H103" s="11">
        <v>90</v>
      </c>
      <c r="I103" s="11">
        <v>92</v>
      </c>
    </row>
    <row r="104" spans="2:9" x14ac:dyDescent="0.25">
      <c r="B104" s="11" t="s">
        <v>23</v>
      </c>
      <c r="C104" s="34" t="s">
        <v>14</v>
      </c>
      <c r="D104" s="11">
        <v>16</v>
      </c>
      <c r="E104" s="11">
        <v>10</v>
      </c>
      <c r="F104" s="11" t="s">
        <v>60</v>
      </c>
      <c r="G104" s="11">
        <v>70</v>
      </c>
      <c r="H104" s="11">
        <v>87</v>
      </c>
      <c r="I104" s="11">
        <v>85</v>
      </c>
    </row>
    <row r="105" spans="2:9" x14ac:dyDescent="0.25">
      <c r="B105" s="11" t="s">
        <v>10</v>
      </c>
      <c r="C105" s="34" t="s">
        <v>14</v>
      </c>
      <c r="D105" s="11">
        <v>14</v>
      </c>
      <c r="E105" s="11">
        <v>8</v>
      </c>
      <c r="F105" s="11" t="s">
        <v>61</v>
      </c>
      <c r="G105" s="11">
        <v>91</v>
      </c>
      <c r="H105" s="11">
        <v>96</v>
      </c>
      <c r="I105" s="11">
        <v>98</v>
      </c>
    </row>
    <row r="107" spans="2:9" x14ac:dyDescent="0.25">
      <c r="B107" s="13" t="s">
        <v>1</v>
      </c>
      <c r="C107" s="13" t="s">
        <v>2</v>
      </c>
      <c r="D107" s="13" t="s">
        <v>3</v>
      </c>
      <c r="E107" s="13" t="s">
        <v>4</v>
      </c>
      <c r="F107" s="13" t="s">
        <v>57</v>
      </c>
      <c r="G107" s="13" t="s">
        <v>5</v>
      </c>
      <c r="H107" s="13" t="s">
        <v>6</v>
      </c>
      <c r="I107" s="13" t="s">
        <v>7</v>
      </c>
    </row>
    <row r="108" spans="2:9" x14ac:dyDescent="0.25">
      <c r="B108" s="11" t="s">
        <v>8</v>
      </c>
      <c r="C108" s="34" t="s">
        <v>9</v>
      </c>
      <c r="D108" s="11">
        <v>16</v>
      </c>
      <c r="E108" s="11">
        <v>10</v>
      </c>
      <c r="F108" s="11" t="s">
        <v>58</v>
      </c>
      <c r="G108" s="11">
        <v>84</v>
      </c>
      <c r="H108" s="11">
        <v>79</v>
      </c>
      <c r="I108" s="11">
        <v>81</v>
      </c>
    </row>
    <row r="109" spans="2:9" x14ac:dyDescent="0.25">
      <c r="B109" s="11" t="s">
        <v>11</v>
      </c>
      <c r="C109" s="34" t="s">
        <v>9</v>
      </c>
      <c r="D109" s="11">
        <v>11</v>
      </c>
      <c r="E109" s="11">
        <v>5</v>
      </c>
      <c r="F109" s="11" t="s">
        <v>59</v>
      </c>
      <c r="G109" s="11">
        <v>82</v>
      </c>
      <c r="H109" s="11">
        <v>83</v>
      </c>
      <c r="I109" s="11">
        <v>91</v>
      </c>
    </row>
    <row r="110" spans="2:9" x14ac:dyDescent="0.25">
      <c r="B110" s="11" t="s">
        <v>16</v>
      </c>
      <c r="C110" s="34" t="s">
        <v>9</v>
      </c>
      <c r="D110" s="11">
        <v>14</v>
      </c>
      <c r="E110" s="11">
        <v>8</v>
      </c>
      <c r="F110" s="11" t="s">
        <v>61</v>
      </c>
      <c r="G110" s="11">
        <v>70</v>
      </c>
      <c r="H110" s="11">
        <v>75</v>
      </c>
      <c r="I110" s="11">
        <v>79</v>
      </c>
    </row>
    <row r="111" spans="2:9" x14ac:dyDescent="0.25">
      <c r="B111" s="11" t="s">
        <v>17</v>
      </c>
      <c r="C111" s="34" t="s">
        <v>9</v>
      </c>
      <c r="D111" s="11">
        <v>16</v>
      </c>
      <c r="E111" s="11">
        <v>10</v>
      </c>
      <c r="F111" s="11" t="s">
        <v>60</v>
      </c>
      <c r="G111" s="11">
        <v>82</v>
      </c>
      <c r="H111" s="11">
        <v>81</v>
      </c>
      <c r="I111" s="11">
        <v>80</v>
      </c>
    </row>
    <row r="112" spans="2:9" x14ac:dyDescent="0.25">
      <c r="B112" s="11" t="s">
        <v>19</v>
      </c>
      <c r="C112" s="34" t="s">
        <v>9</v>
      </c>
      <c r="D112" s="11">
        <v>15</v>
      </c>
      <c r="E112" s="11">
        <v>9</v>
      </c>
      <c r="F112" s="11" t="s">
        <v>59</v>
      </c>
      <c r="G112" s="11">
        <v>87</v>
      </c>
      <c r="H112" s="11">
        <v>89</v>
      </c>
      <c r="I112" s="11">
        <v>96</v>
      </c>
    </row>
    <row r="113" spans="2:9" x14ac:dyDescent="0.25">
      <c r="B113" s="11" t="s">
        <v>17</v>
      </c>
      <c r="C113" s="34" t="s">
        <v>9</v>
      </c>
      <c r="D113" s="11">
        <v>11</v>
      </c>
      <c r="E113" s="11">
        <v>6</v>
      </c>
      <c r="F113" s="11" t="s">
        <v>58</v>
      </c>
      <c r="G113" s="11">
        <v>91</v>
      </c>
      <c r="H113" s="11">
        <v>81</v>
      </c>
      <c r="I113" s="11">
        <v>95</v>
      </c>
    </row>
    <row r="114" spans="2:9" x14ac:dyDescent="0.25">
      <c r="B114" s="11" t="s">
        <v>15</v>
      </c>
      <c r="C114" s="34" t="s">
        <v>9</v>
      </c>
      <c r="D114" s="11">
        <v>12</v>
      </c>
      <c r="E114" s="11">
        <v>7</v>
      </c>
      <c r="F114" s="11" t="s">
        <v>58</v>
      </c>
      <c r="G114" s="11">
        <v>86</v>
      </c>
      <c r="H114" s="11">
        <v>92</v>
      </c>
      <c r="I114" s="11">
        <v>89</v>
      </c>
    </row>
    <row r="115" spans="2:9" x14ac:dyDescent="0.25">
      <c r="C115" s="2"/>
    </row>
    <row r="116" spans="2:9" x14ac:dyDescent="0.25">
      <c r="B116" s="13" t="s">
        <v>1</v>
      </c>
      <c r="C116" s="13" t="s">
        <v>2</v>
      </c>
      <c r="D116" s="13" t="s">
        <v>3</v>
      </c>
      <c r="E116" s="13" t="s">
        <v>4</v>
      </c>
      <c r="F116" s="13" t="s">
        <v>57</v>
      </c>
      <c r="G116" s="13" t="s">
        <v>5</v>
      </c>
      <c r="H116" s="13" t="s">
        <v>6</v>
      </c>
      <c r="I116" s="13" t="s">
        <v>7</v>
      </c>
    </row>
    <row r="117" spans="2:9" x14ac:dyDescent="0.25">
      <c r="B117" s="11" t="s">
        <v>16</v>
      </c>
      <c r="C117" s="11" t="s">
        <v>9</v>
      </c>
      <c r="D117" s="11">
        <v>14</v>
      </c>
      <c r="E117" s="11">
        <v>8</v>
      </c>
      <c r="F117" s="34" t="s">
        <v>61</v>
      </c>
      <c r="G117" s="11">
        <v>70</v>
      </c>
      <c r="H117" s="11">
        <v>75</v>
      </c>
      <c r="I117" s="11">
        <v>79</v>
      </c>
    </row>
    <row r="118" spans="2:9" x14ac:dyDescent="0.25">
      <c r="B118" s="11" t="s">
        <v>12</v>
      </c>
      <c r="C118" s="11" t="s">
        <v>14</v>
      </c>
      <c r="D118" s="11">
        <v>16</v>
      </c>
      <c r="E118" s="11">
        <v>10</v>
      </c>
      <c r="F118" s="34" t="s">
        <v>61</v>
      </c>
      <c r="G118" s="11">
        <v>88</v>
      </c>
      <c r="H118" s="11">
        <v>92</v>
      </c>
      <c r="I118" s="11">
        <v>96</v>
      </c>
    </row>
    <row r="119" spans="2:9" x14ac:dyDescent="0.25">
      <c r="B119" s="11" t="s">
        <v>10</v>
      </c>
      <c r="C119" s="11" t="s">
        <v>14</v>
      </c>
      <c r="D119" s="11">
        <v>14</v>
      </c>
      <c r="E119" s="11">
        <v>8</v>
      </c>
      <c r="F119" s="34" t="s">
        <v>61</v>
      </c>
      <c r="G119" s="11">
        <v>91</v>
      </c>
      <c r="H119" s="11">
        <v>96</v>
      </c>
      <c r="I119" s="11">
        <v>98</v>
      </c>
    </row>
    <row r="121" spans="2:9" x14ac:dyDescent="0.25">
      <c r="B121" s="13" t="s">
        <v>1</v>
      </c>
      <c r="C121" s="13" t="s">
        <v>2</v>
      </c>
      <c r="D121" s="13" t="s">
        <v>3</v>
      </c>
      <c r="E121" s="13" t="s">
        <v>4</v>
      </c>
      <c r="F121" s="13" t="s">
        <v>57</v>
      </c>
      <c r="G121" s="13" t="s">
        <v>5</v>
      </c>
      <c r="H121" s="13" t="s">
        <v>6</v>
      </c>
      <c r="I121" s="13" t="s">
        <v>7</v>
      </c>
    </row>
    <row r="122" spans="2:9" x14ac:dyDescent="0.25">
      <c r="B122" s="11" t="s">
        <v>8</v>
      </c>
      <c r="C122" s="11" t="s">
        <v>9</v>
      </c>
      <c r="D122" s="11">
        <v>16</v>
      </c>
      <c r="E122" s="11">
        <v>10</v>
      </c>
      <c r="F122" s="34" t="s">
        <v>58</v>
      </c>
      <c r="G122" s="11">
        <v>84</v>
      </c>
      <c r="H122" s="11">
        <v>79</v>
      </c>
      <c r="I122" s="11">
        <v>81</v>
      </c>
    </row>
    <row r="123" spans="2:9" x14ac:dyDescent="0.25">
      <c r="B123" s="11" t="s">
        <v>17</v>
      </c>
      <c r="C123" s="11" t="s">
        <v>9</v>
      </c>
      <c r="D123" s="11">
        <v>11</v>
      </c>
      <c r="E123" s="11">
        <v>6</v>
      </c>
      <c r="F123" s="34" t="s">
        <v>58</v>
      </c>
      <c r="G123" s="11">
        <v>91</v>
      </c>
      <c r="H123" s="11">
        <v>81</v>
      </c>
      <c r="I123" s="11">
        <v>95</v>
      </c>
    </row>
    <row r="124" spans="2:9" x14ac:dyDescent="0.25">
      <c r="B124" s="11" t="s">
        <v>15</v>
      </c>
      <c r="C124" s="11" t="s">
        <v>9</v>
      </c>
      <c r="D124" s="11">
        <v>12</v>
      </c>
      <c r="E124" s="11">
        <v>7</v>
      </c>
      <c r="F124" s="34" t="s">
        <v>58</v>
      </c>
      <c r="G124" s="11">
        <v>86</v>
      </c>
      <c r="H124" s="11">
        <v>92</v>
      </c>
      <c r="I124" s="11">
        <v>89</v>
      </c>
    </row>
    <row r="125" spans="2:9" x14ac:dyDescent="0.25">
      <c r="B125" s="11" t="s">
        <v>21</v>
      </c>
      <c r="C125" s="11" t="s">
        <v>14</v>
      </c>
      <c r="D125" s="11">
        <v>16</v>
      </c>
      <c r="E125" s="11">
        <v>10</v>
      </c>
      <c r="F125" s="34" t="s">
        <v>58</v>
      </c>
      <c r="G125" s="11">
        <v>81</v>
      </c>
      <c r="H125" s="11">
        <v>80</v>
      </c>
      <c r="I125" s="11">
        <v>87</v>
      </c>
    </row>
    <row r="128" spans="2:9" x14ac:dyDescent="0.25">
      <c r="B128" s="35" t="s">
        <v>1</v>
      </c>
      <c r="C128" s="35" t="s">
        <v>2</v>
      </c>
      <c r="D128" s="35" t="s">
        <v>3</v>
      </c>
      <c r="E128" s="35" t="s">
        <v>4</v>
      </c>
      <c r="F128" s="35" t="s">
        <v>57</v>
      </c>
      <c r="G128" s="35" t="s">
        <v>5</v>
      </c>
      <c r="H128" s="35" t="s">
        <v>6</v>
      </c>
      <c r="I128" s="35" t="s">
        <v>7</v>
      </c>
    </row>
    <row r="129" spans="2:9" x14ac:dyDescent="0.25">
      <c r="B129" s="11" t="s">
        <v>10</v>
      </c>
      <c r="C129" s="11" t="s">
        <v>14</v>
      </c>
      <c r="D129" s="11">
        <v>14</v>
      </c>
      <c r="E129" s="11">
        <v>8</v>
      </c>
      <c r="F129" s="11" t="s">
        <v>61</v>
      </c>
      <c r="G129" s="11">
        <v>91</v>
      </c>
      <c r="H129" s="36">
        <v>96</v>
      </c>
      <c r="I129" s="11">
        <v>98</v>
      </c>
    </row>
    <row r="130" spans="2:9" x14ac:dyDescent="0.25">
      <c r="B130" s="11" t="s">
        <v>12</v>
      </c>
      <c r="C130" s="11" t="s">
        <v>14</v>
      </c>
      <c r="D130" s="11">
        <v>16</v>
      </c>
      <c r="E130" s="11">
        <v>10</v>
      </c>
      <c r="F130" s="11" t="s">
        <v>61</v>
      </c>
      <c r="G130" s="11">
        <v>88</v>
      </c>
      <c r="H130" s="36">
        <v>92</v>
      </c>
      <c r="I130" s="11">
        <v>96</v>
      </c>
    </row>
    <row r="131" spans="2:9" x14ac:dyDescent="0.25">
      <c r="B131" s="11" t="s">
        <v>15</v>
      </c>
      <c r="C131" s="11" t="s">
        <v>9</v>
      </c>
      <c r="D131" s="11">
        <v>12</v>
      </c>
      <c r="E131" s="11">
        <v>7</v>
      </c>
      <c r="F131" s="11" t="s">
        <v>58</v>
      </c>
      <c r="G131" s="11">
        <v>86</v>
      </c>
      <c r="H131" s="36">
        <v>92</v>
      </c>
      <c r="I131" s="11">
        <v>89</v>
      </c>
    </row>
    <row r="132" spans="2:9" x14ac:dyDescent="0.25">
      <c r="B132" s="11" t="s">
        <v>20</v>
      </c>
      <c r="C132" s="11" t="s">
        <v>14</v>
      </c>
      <c r="D132" s="11">
        <v>17</v>
      </c>
      <c r="E132" s="11">
        <v>10</v>
      </c>
      <c r="F132" s="11" t="s">
        <v>60</v>
      </c>
      <c r="G132" s="11">
        <v>70</v>
      </c>
      <c r="H132" s="36">
        <v>90</v>
      </c>
      <c r="I132" s="11">
        <v>92</v>
      </c>
    </row>
    <row r="133" spans="2:9" x14ac:dyDescent="0.25">
      <c r="B133" s="11" t="s">
        <v>22</v>
      </c>
      <c r="C133" s="11" t="s">
        <v>14</v>
      </c>
      <c r="D133" s="11">
        <v>11</v>
      </c>
      <c r="E133" s="11">
        <v>6</v>
      </c>
      <c r="F133" s="11" t="s">
        <v>60</v>
      </c>
      <c r="G133" s="11">
        <v>88</v>
      </c>
      <c r="H133" s="36">
        <v>90</v>
      </c>
      <c r="I133" s="11">
        <v>92</v>
      </c>
    </row>
    <row r="134" spans="2:9" x14ac:dyDescent="0.25">
      <c r="B134" s="11" t="s">
        <v>19</v>
      </c>
      <c r="C134" s="11" t="s">
        <v>9</v>
      </c>
      <c r="D134" s="11">
        <v>15</v>
      </c>
      <c r="E134" s="11">
        <v>9</v>
      </c>
      <c r="F134" s="11" t="s">
        <v>59</v>
      </c>
      <c r="G134" s="11">
        <v>87</v>
      </c>
      <c r="H134" s="36">
        <v>89</v>
      </c>
      <c r="I134" s="11">
        <v>96</v>
      </c>
    </row>
    <row r="135" spans="2:9" x14ac:dyDescent="0.25">
      <c r="B135" s="11" t="s">
        <v>23</v>
      </c>
      <c r="C135" s="11" t="s">
        <v>14</v>
      </c>
      <c r="D135" s="11">
        <v>16</v>
      </c>
      <c r="E135" s="11">
        <v>10</v>
      </c>
      <c r="F135" s="11" t="s">
        <v>60</v>
      </c>
      <c r="G135" s="11">
        <v>70</v>
      </c>
      <c r="H135" s="36">
        <v>87</v>
      </c>
      <c r="I135" s="11">
        <v>85</v>
      </c>
    </row>
    <row r="136" spans="2:9" x14ac:dyDescent="0.25">
      <c r="B136" s="11" t="s">
        <v>18</v>
      </c>
      <c r="C136" s="11" t="s">
        <v>14</v>
      </c>
      <c r="D136" s="11">
        <v>14</v>
      </c>
      <c r="E136" s="11">
        <v>8</v>
      </c>
      <c r="F136" s="11" t="s">
        <v>59</v>
      </c>
      <c r="G136" s="11">
        <v>90</v>
      </c>
      <c r="H136" s="36">
        <v>86</v>
      </c>
      <c r="I136" s="11">
        <v>89</v>
      </c>
    </row>
    <row r="137" spans="2:9" x14ac:dyDescent="0.25">
      <c r="B137" s="11" t="s">
        <v>11</v>
      </c>
      <c r="C137" s="11" t="s">
        <v>9</v>
      </c>
      <c r="D137" s="11">
        <v>11</v>
      </c>
      <c r="E137" s="11">
        <v>5</v>
      </c>
      <c r="F137" s="11" t="s">
        <v>59</v>
      </c>
      <c r="G137" s="11">
        <v>82</v>
      </c>
      <c r="H137" s="36">
        <v>83</v>
      </c>
      <c r="I137" s="11">
        <v>91</v>
      </c>
    </row>
    <row r="138" spans="2:9" x14ac:dyDescent="0.25">
      <c r="B138" s="11" t="s">
        <v>17</v>
      </c>
      <c r="C138" s="11" t="s">
        <v>9</v>
      </c>
      <c r="D138" s="11">
        <v>16</v>
      </c>
      <c r="E138" s="11">
        <v>10</v>
      </c>
      <c r="F138" s="11" t="s">
        <v>60</v>
      </c>
      <c r="G138" s="11">
        <v>82</v>
      </c>
      <c r="H138" s="36">
        <v>81</v>
      </c>
      <c r="I138" s="11">
        <v>80</v>
      </c>
    </row>
    <row r="139" spans="2:9" x14ac:dyDescent="0.25">
      <c r="B139" s="11" t="s">
        <v>17</v>
      </c>
      <c r="C139" s="11" t="s">
        <v>9</v>
      </c>
      <c r="D139" s="11">
        <v>11</v>
      </c>
      <c r="E139" s="11">
        <v>6</v>
      </c>
      <c r="F139" s="11" t="s">
        <v>58</v>
      </c>
      <c r="G139" s="11">
        <v>91</v>
      </c>
      <c r="H139" s="36">
        <v>81</v>
      </c>
      <c r="I139" s="11">
        <v>95</v>
      </c>
    </row>
    <row r="140" spans="2:9" x14ac:dyDescent="0.25">
      <c r="B140" s="11" t="s">
        <v>21</v>
      </c>
      <c r="C140" s="11" t="s">
        <v>14</v>
      </c>
      <c r="D140" s="11">
        <v>16</v>
      </c>
      <c r="E140" s="11">
        <v>10</v>
      </c>
      <c r="F140" s="11" t="s">
        <v>58</v>
      </c>
      <c r="G140" s="11">
        <v>81</v>
      </c>
      <c r="H140" s="36">
        <v>80</v>
      </c>
      <c r="I140" s="11">
        <v>87</v>
      </c>
    </row>
    <row r="141" spans="2:9" x14ac:dyDescent="0.25">
      <c r="B141" s="11" t="s">
        <v>8</v>
      </c>
      <c r="C141" s="11" t="s">
        <v>9</v>
      </c>
      <c r="D141" s="11">
        <v>16</v>
      </c>
      <c r="E141" s="11">
        <v>10</v>
      </c>
      <c r="F141" s="11" t="s">
        <v>58</v>
      </c>
      <c r="G141" s="11">
        <v>84</v>
      </c>
      <c r="H141" s="36">
        <v>79</v>
      </c>
      <c r="I141" s="11">
        <v>81</v>
      </c>
    </row>
    <row r="142" spans="2:9" x14ac:dyDescent="0.25">
      <c r="B142" s="11" t="s">
        <v>13</v>
      </c>
      <c r="C142" s="11" t="s">
        <v>14</v>
      </c>
      <c r="D142" s="11">
        <v>15</v>
      </c>
      <c r="E142" s="11">
        <v>8</v>
      </c>
      <c r="F142" s="11" t="s">
        <v>60</v>
      </c>
      <c r="G142" s="11">
        <v>81</v>
      </c>
      <c r="H142" s="36">
        <v>78</v>
      </c>
      <c r="I142" s="11">
        <v>88</v>
      </c>
    </row>
    <row r="143" spans="2:9" x14ac:dyDescent="0.25">
      <c r="B143" s="11" t="s">
        <v>16</v>
      </c>
      <c r="C143" s="11" t="s">
        <v>9</v>
      </c>
      <c r="D143" s="11">
        <v>14</v>
      </c>
      <c r="E143" s="11">
        <v>8</v>
      </c>
      <c r="F143" s="11" t="s">
        <v>61</v>
      </c>
      <c r="G143" s="11">
        <v>70</v>
      </c>
      <c r="H143" s="36">
        <v>75</v>
      </c>
      <c r="I143" s="11">
        <v>79</v>
      </c>
    </row>
    <row r="146" spans="2:9" x14ac:dyDescent="0.25">
      <c r="B146" s="64" t="s">
        <v>161</v>
      </c>
      <c r="C146" s="64"/>
      <c r="D146" s="64"/>
    </row>
    <row r="147" spans="2:9" x14ac:dyDescent="0.25">
      <c r="B147" s="35" t="s">
        <v>1</v>
      </c>
      <c r="C147" s="35" t="s">
        <v>2</v>
      </c>
      <c r="D147" s="35" t="s">
        <v>3</v>
      </c>
      <c r="E147" s="35" t="s">
        <v>4</v>
      </c>
      <c r="F147" s="35" t="s">
        <v>57</v>
      </c>
      <c r="G147" s="35" t="s">
        <v>5</v>
      </c>
      <c r="H147" s="35" t="s">
        <v>6</v>
      </c>
      <c r="I147" s="35" t="s">
        <v>7</v>
      </c>
    </row>
    <row r="148" spans="2:9" x14ac:dyDescent="0.25">
      <c r="B148" s="11" t="s">
        <v>10</v>
      </c>
      <c r="C148" s="11" t="s">
        <v>14</v>
      </c>
      <c r="D148" s="11">
        <v>14</v>
      </c>
      <c r="E148" s="11">
        <v>8</v>
      </c>
      <c r="F148" s="11" t="s">
        <v>61</v>
      </c>
      <c r="G148" s="11">
        <v>91</v>
      </c>
      <c r="H148" s="36">
        <v>96</v>
      </c>
      <c r="I148" s="11">
        <v>98</v>
      </c>
    </row>
    <row r="149" spans="2:9" x14ac:dyDescent="0.25">
      <c r="B149" s="11" t="s">
        <v>12</v>
      </c>
      <c r="C149" s="11" t="s">
        <v>14</v>
      </c>
      <c r="D149" s="11">
        <v>16</v>
      </c>
      <c r="E149" s="11">
        <v>10</v>
      </c>
      <c r="F149" s="11" t="s">
        <v>61</v>
      </c>
      <c r="G149" s="11">
        <v>88</v>
      </c>
      <c r="H149" s="36">
        <v>92</v>
      </c>
      <c r="I149" s="11">
        <v>96</v>
      </c>
    </row>
    <row r="150" spans="2:9" x14ac:dyDescent="0.25">
      <c r="B150" s="11" t="s">
        <v>20</v>
      </c>
      <c r="C150" s="11" t="s">
        <v>14</v>
      </c>
      <c r="D150" s="11">
        <v>17</v>
      </c>
      <c r="E150" s="11">
        <v>10</v>
      </c>
      <c r="F150" s="11" t="s">
        <v>60</v>
      </c>
      <c r="G150" s="11">
        <v>70</v>
      </c>
      <c r="H150" s="36">
        <v>90</v>
      </c>
      <c r="I150" s="11">
        <v>92</v>
      </c>
    </row>
    <row r="151" spans="2:9" x14ac:dyDescent="0.25">
      <c r="B151" s="11" t="s">
        <v>22</v>
      </c>
      <c r="C151" s="11" t="s">
        <v>14</v>
      </c>
      <c r="D151" s="11">
        <v>11</v>
      </c>
      <c r="E151" s="11">
        <v>6</v>
      </c>
      <c r="F151" s="11" t="s">
        <v>60</v>
      </c>
      <c r="G151" s="11">
        <v>88</v>
      </c>
      <c r="H151" s="36">
        <v>90</v>
      </c>
      <c r="I151" s="11">
        <v>92</v>
      </c>
    </row>
    <row r="152" spans="2:9" x14ac:dyDescent="0.25">
      <c r="B152" s="11" t="s">
        <v>19</v>
      </c>
      <c r="C152" s="11" t="s">
        <v>9</v>
      </c>
      <c r="D152" s="11">
        <v>15</v>
      </c>
      <c r="E152" s="11">
        <v>9</v>
      </c>
      <c r="F152" s="11" t="s">
        <v>59</v>
      </c>
      <c r="G152" s="11">
        <v>87</v>
      </c>
      <c r="H152" s="36">
        <v>89</v>
      </c>
      <c r="I152" s="11">
        <v>96</v>
      </c>
    </row>
    <row r="153" spans="2:9" x14ac:dyDescent="0.25">
      <c r="B153" s="11" t="s">
        <v>11</v>
      </c>
      <c r="C153" s="11" t="s">
        <v>9</v>
      </c>
      <c r="D153" s="11">
        <v>11</v>
      </c>
      <c r="E153" s="11">
        <v>5</v>
      </c>
      <c r="F153" s="11" t="s">
        <v>59</v>
      </c>
      <c r="G153" s="11">
        <v>82</v>
      </c>
      <c r="H153" s="36">
        <v>83</v>
      </c>
      <c r="I153" s="11">
        <v>91</v>
      </c>
    </row>
    <row r="154" spans="2:9" x14ac:dyDescent="0.25">
      <c r="B154" s="11" t="s">
        <v>17</v>
      </c>
      <c r="C154" s="11" t="s">
        <v>9</v>
      </c>
      <c r="D154" s="11">
        <v>11</v>
      </c>
      <c r="E154" s="11">
        <v>6</v>
      </c>
      <c r="F154" s="11" t="s">
        <v>58</v>
      </c>
      <c r="G154" s="11">
        <v>91</v>
      </c>
      <c r="H154" s="36">
        <v>81</v>
      </c>
      <c r="I154" s="11">
        <v>95</v>
      </c>
    </row>
    <row r="156" spans="2:9" x14ac:dyDescent="0.25">
      <c r="B156" s="62" t="s">
        <v>163</v>
      </c>
      <c r="C156" s="62"/>
      <c r="D156" s="62"/>
      <c r="E156" s="62"/>
      <c r="F156" s="62"/>
      <c r="G156" s="62"/>
    </row>
    <row r="157" spans="2:9" x14ac:dyDescent="0.25">
      <c r="B157" s="42" t="s">
        <v>1</v>
      </c>
      <c r="C157" s="43" t="s">
        <v>2</v>
      </c>
      <c r="D157" s="43" t="s">
        <v>3</v>
      </c>
      <c r="E157" s="43" t="s">
        <v>4</v>
      </c>
      <c r="F157" s="43" t="s">
        <v>57</v>
      </c>
      <c r="G157" s="43" t="s">
        <v>5</v>
      </c>
      <c r="H157" s="43" t="s">
        <v>6</v>
      </c>
      <c r="I157" s="44" t="s">
        <v>7</v>
      </c>
    </row>
    <row r="158" spans="2:9" x14ac:dyDescent="0.25">
      <c r="B158" s="37" t="s">
        <v>10</v>
      </c>
      <c r="C158" s="11" t="s">
        <v>14</v>
      </c>
      <c r="D158" s="11">
        <v>14</v>
      </c>
      <c r="E158" s="11">
        <v>8</v>
      </c>
      <c r="F158" s="11" t="s">
        <v>61</v>
      </c>
      <c r="G158" s="11">
        <v>91</v>
      </c>
      <c r="H158" s="36">
        <v>96</v>
      </c>
      <c r="I158" s="38">
        <v>98</v>
      </c>
    </row>
    <row r="159" spans="2:9" x14ac:dyDescent="0.25">
      <c r="B159" s="37" t="s">
        <v>12</v>
      </c>
      <c r="C159" s="11" t="s">
        <v>14</v>
      </c>
      <c r="D159" s="11">
        <v>16</v>
      </c>
      <c r="E159" s="11">
        <v>10</v>
      </c>
      <c r="F159" s="11" t="s">
        <v>61</v>
      </c>
      <c r="G159" s="11">
        <v>88</v>
      </c>
      <c r="H159" s="36">
        <v>92</v>
      </c>
      <c r="I159" s="38">
        <v>96</v>
      </c>
    </row>
    <row r="160" spans="2:9" x14ac:dyDescent="0.25">
      <c r="B160" s="37" t="s">
        <v>15</v>
      </c>
      <c r="C160" s="11" t="s">
        <v>9</v>
      </c>
      <c r="D160" s="11">
        <v>12</v>
      </c>
      <c r="E160" s="11">
        <v>7</v>
      </c>
      <c r="F160" s="11" t="s">
        <v>58</v>
      </c>
      <c r="G160" s="11">
        <v>86</v>
      </c>
      <c r="H160" s="36">
        <v>92</v>
      </c>
      <c r="I160" s="38">
        <v>89</v>
      </c>
    </row>
    <row r="161" spans="2:9" x14ac:dyDescent="0.25">
      <c r="B161" s="37" t="s">
        <v>20</v>
      </c>
      <c r="C161" s="11" t="s">
        <v>14</v>
      </c>
      <c r="D161" s="11">
        <v>17</v>
      </c>
      <c r="E161" s="11">
        <v>10</v>
      </c>
      <c r="F161" s="11" t="s">
        <v>60</v>
      </c>
      <c r="G161" s="11">
        <v>70</v>
      </c>
      <c r="H161" s="36">
        <v>90</v>
      </c>
      <c r="I161" s="38">
        <v>92</v>
      </c>
    </row>
    <row r="162" spans="2:9" x14ac:dyDescent="0.25">
      <c r="B162" s="37" t="s">
        <v>22</v>
      </c>
      <c r="C162" s="11" t="s">
        <v>14</v>
      </c>
      <c r="D162" s="11">
        <v>11</v>
      </c>
      <c r="E162" s="11">
        <v>6</v>
      </c>
      <c r="F162" s="11" t="s">
        <v>60</v>
      </c>
      <c r="G162" s="11">
        <v>88</v>
      </c>
      <c r="H162" s="36">
        <v>90</v>
      </c>
      <c r="I162" s="38">
        <v>92</v>
      </c>
    </row>
    <row r="163" spans="2:9" x14ac:dyDescent="0.25">
      <c r="B163" s="37" t="s">
        <v>19</v>
      </c>
      <c r="C163" s="11" t="s">
        <v>9</v>
      </c>
      <c r="D163" s="11">
        <v>15</v>
      </c>
      <c r="E163" s="11">
        <v>9</v>
      </c>
      <c r="F163" s="11" t="s">
        <v>59</v>
      </c>
      <c r="G163" s="11">
        <v>87</v>
      </c>
      <c r="H163" s="36">
        <v>89</v>
      </c>
      <c r="I163" s="38">
        <v>96</v>
      </c>
    </row>
    <row r="164" spans="2:9" x14ac:dyDescent="0.25">
      <c r="B164" s="37" t="s">
        <v>23</v>
      </c>
      <c r="C164" s="11" t="s">
        <v>14</v>
      </c>
      <c r="D164" s="11">
        <v>16</v>
      </c>
      <c r="E164" s="11">
        <v>10</v>
      </c>
      <c r="F164" s="11" t="s">
        <v>60</v>
      </c>
      <c r="G164" s="11">
        <v>70</v>
      </c>
      <c r="H164" s="36">
        <v>87</v>
      </c>
      <c r="I164" s="38">
        <v>85</v>
      </c>
    </row>
    <row r="165" spans="2:9" x14ac:dyDescent="0.25">
      <c r="B165" s="37" t="s">
        <v>18</v>
      </c>
      <c r="C165" s="11" t="s">
        <v>14</v>
      </c>
      <c r="D165" s="11">
        <v>14</v>
      </c>
      <c r="E165" s="11">
        <v>8</v>
      </c>
      <c r="F165" s="11" t="s">
        <v>59</v>
      </c>
      <c r="G165" s="11">
        <v>90</v>
      </c>
      <c r="H165" s="36">
        <v>86</v>
      </c>
      <c r="I165" s="38">
        <v>89</v>
      </c>
    </row>
    <row r="166" spans="2:9" x14ac:dyDescent="0.25">
      <c r="B166" s="37" t="s">
        <v>11</v>
      </c>
      <c r="C166" s="11" t="s">
        <v>9</v>
      </c>
      <c r="D166" s="11">
        <v>11</v>
      </c>
      <c r="E166" s="11">
        <v>5</v>
      </c>
      <c r="F166" s="11" t="s">
        <v>59</v>
      </c>
      <c r="G166" s="11">
        <v>82</v>
      </c>
      <c r="H166" s="36">
        <v>83</v>
      </c>
      <c r="I166" s="38">
        <v>91</v>
      </c>
    </row>
    <row r="167" spans="2:9" x14ac:dyDescent="0.25">
      <c r="B167" s="37" t="s">
        <v>17</v>
      </c>
      <c r="C167" s="11" t="s">
        <v>9</v>
      </c>
      <c r="D167" s="11">
        <v>16</v>
      </c>
      <c r="E167" s="11">
        <v>10</v>
      </c>
      <c r="F167" s="11" t="s">
        <v>60</v>
      </c>
      <c r="G167" s="11">
        <v>82</v>
      </c>
      <c r="H167" s="36">
        <v>81</v>
      </c>
      <c r="I167" s="38">
        <v>80</v>
      </c>
    </row>
    <row r="168" spans="2:9" x14ac:dyDescent="0.25">
      <c r="B168" s="37" t="s">
        <v>17</v>
      </c>
      <c r="C168" s="11" t="s">
        <v>9</v>
      </c>
      <c r="D168" s="11">
        <v>11</v>
      </c>
      <c r="E168" s="11">
        <v>6</v>
      </c>
      <c r="F168" s="11" t="s">
        <v>58</v>
      </c>
      <c r="G168" s="11">
        <v>91</v>
      </c>
      <c r="H168" s="36">
        <v>81</v>
      </c>
      <c r="I168" s="38">
        <v>95</v>
      </c>
    </row>
    <row r="169" spans="2:9" x14ac:dyDescent="0.25">
      <c r="B169" s="37" t="s">
        <v>21</v>
      </c>
      <c r="C169" s="11" t="s">
        <v>14</v>
      </c>
      <c r="D169" s="11">
        <v>16</v>
      </c>
      <c r="E169" s="11">
        <v>10</v>
      </c>
      <c r="F169" s="11" t="s">
        <v>58</v>
      </c>
      <c r="G169" s="11">
        <v>81</v>
      </c>
      <c r="H169" s="36">
        <v>80</v>
      </c>
      <c r="I169" s="38">
        <v>87</v>
      </c>
    </row>
    <row r="170" spans="2:9" x14ac:dyDescent="0.25">
      <c r="B170" s="37" t="s">
        <v>8</v>
      </c>
      <c r="C170" s="11" t="s">
        <v>9</v>
      </c>
      <c r="D170" s="11">
        <v>16</v>
      </c>
      <c r="E170" s="11">
        <v>10</v>
      </c>
      <c r="F170" s="11" t="s">
        <v>58</v>
      </c>
      <c r="G170" s="11">
        <v>84</v>
      </c>
      <c r="H170" s="36">
        <v>79</v>
      </c>
      <c r="I170" s="38">
        <v>81</v>
      </c>
    </row>
    <row r="171" spans="2:9" x14ac:dyDescent="0.25">
      <c r="B171" s="37" t="s">
        <v>13</v>
      </c>
      <c r="C171" s="11" t="s">
        <v>14</v>
      </c>
      <c r="D171" s="11">
        <v>15</v>
      </c>
      <c r="E171" s="11">
        <v>8</v>
      </c>
      <c r="F171" s="11" t="s">
        <v>60</v>
      </c>
      <c r="G171" s="11">
        <v>81</v>
      </c>
      <c r="H171" s="36">
        <v>78</v>
      </c>
      <c r="I171" s="38">
        <v>88</v>
      </c>
    </row>
    <row r="172" spans="2:9" x14ac:dyDescent="0.25">
      <c r="B172" s="39" t="s">
        <v>16</v>
      </c>
      <c r="C172" s="33" t="s">
        <v>9</v>
      </c>
      <c r="D172" s="33">
        <v>14</v>
      </c>
      <c r="E172" s="33">
        <v>8</v>
      </c>
      <c r="F172" s="33" t="s">
        <v>61</v>
      </c>
      <c r="G172" s="33">
        <v>70</v>
      </c>
      <c r="H172" s="40">
        <v>75</v>
      </c>
      <c r="I172" s="41">
        <v>79</v>
      </c>
    </row>
    <row r="174" spans="2:9" x14ac:dyDescent="0.25">
      <c r="B174" s="2" t="s">
        <v>164</v>
      </c>
    </row>
    <row r="175" spans="2:9" x14ac:dyDescent="0.25">
      <c r="B175" s="42" t="s">
        <v>1</v>
      </c>
      <c r="C175" s="43" t="s">
        <v>2</v>
      </c>
      <c r="D175" s="43" t="s">
        <v>3</v>
      </c>
      <c r="E175" s="43" t="s">
        <v>4</v>
      </c>
      <c r="F175" s="43" t="s">
        <v>57</v>
      </c>
      <c r="G175" s="43" t="s">
        <v>5</v>
      </c>
      <c r="H175" s="43" t="s">
        <v>6</v>
      </c>
      <c r="I175" s="44" t="s">
        <v>7</v>
      </c>
    </row>
    <row r="176" spans="2:9" x14ac:dyDescent="0.25">
      <c r="B176" s="37" t="s">
        <v>10</v>
      </c>
      <c r="C176" s="11" t="s">
        <v>14</v>
      </c>
      <c r="D176" s="11">
        <v>14</v>
      </c>
      <c r="E176" s="11">
        <v>8</v>
      </c>
      <c r="F176" s="11" t="s">
        <v>61</v>
      </c>
      <c r="G176" s="11">
        <v>91</v>
      </c>
      <c r="H176" s="36">
        <v>96</v>
      </c>
      <c r="I176" s="38">
        <v>98</v>
      </c>
    </row>
    <row r="177" spans="2:9" x14ac:dyDescent="0.25">
      <c r="B177" s="37" t="s">
        <v>12</v>
      </c>
      <c r="C177" s="11" t="s">
        <v>14</v>
      </c>
      <c r="D177" s="11">
        <v>16</v>
      </c>
      <c r="E177" s="11">
        <v>10</v>
      </c>
      <c r="F177" s="11" t="s">
        <v>61</v>
      </c>
      <c r="G177" s="11">
        <v>88</v>
      </c>
      <c r="H177" s="36">
        <v>92</v>
      </c>
      <c r="I177" s="38">
        <v>96</v>
      </c>
    </row>
    <row r="178" spans="2:9" x14ac:dyDescent="0.25">
      <c r="B178" s="37" t="s">
        <v>15</v>
      </c>
      <c r="C178" s="11" t="s">
        <v>9</v>
      </c>
      <c r="D178" s="11">
        <v>12</v>
      </c>
      <c r="E178" s="11">
        <v>7</v>
      </c>
      <c r="F178" s="11" t="s">
        <v>58</v>
      </c>
      <c r="G178" s="11">
        <v>86</v>
      </c>
      <c r="H178" s="36">
        <v>92</v>
      </c>
      <c r="I178" s="38">
        <v>89</v>
      </c>
    </row>
    <row r="179" spans="2:9" x14ac:dyDescent="0.25">
      <c r="B179" s="37" t="s">
        <v>20</v>
      </c>
      <c r="C179" s="11" t="s">
        <v>14</v>
      </c>
      <c r="D179" s="11">
        <v>17</v>
      </c>
      <c r="E179" s="11">
        <v>10</v>
      </c>
      <c r="F179" s="11" t="s">
        <v>60</v>
      </c>
      <c r="G179" s="11">
        <v>70</v>
      </c>
      <c r="H179" s="36">
        <v>90</v>
      </c>
      <c r="I179" s="38">
        <v>92</v>
      </c>
    </row>
    <row r="180" spans="2:9" x14ac:dyDescent="0.25">
      <c r="B180" s="37" t="s">
        <v>22</v>
      </c>
      <c r="C180" s="11" t="s">
        <v>14</v>
      </c>
      <c r="D180" s="11">
        <v>11</v>
      </c>
      <c r="E180" s="11">
        <v>6</v>
      </c>
      <c r="F180" s="11" t="s">
        <v>60</v>
      </c>
      <c r="G180" s="11">
        <v>88</v>
      </c>
      <c r="H180" s="36">
        <v>90</v>
      </c>
      <c r="I180" s="38">
        <v>92</v>
      </c>
    </row>
    <row r="181" spans="2:9" x14ac:dyDescent="0.25">
      <c r="B181" s="37" t="s">
        <v>19</v>
      </c>
      <c r="C181" s="11" t="s">
        <v>9</v>
      </c>
      <c r="D181" s="11">
        <v>15</v>
      </c>
      <c r="E181" s="11">
        <v>9</v>
      </c>
      <c r="F181" s="11" t="s">
        <v>59</v>
      </c>
      <c r="G181" s="11">
        <v>87</v>
      </c>
      <c r="H181" s="36">
        <v>89</v>
      </c>
      <c r="I181" s="38">
        <v>96</v>
      </c>
    </row>
    <row r="182" spans="2:9" x14ac:dyDescent="0.25">
      <c r="B182" s="37" t="s">
        <v>23</v>
      </c>
      <c r="C182" s="11" t="s">
        <v>14</v>
      </c>
      <c r="D182" s="11">
        <v>16</v>
      </c>
      <c r="E182" s="11">
        <v>10</v>
      </c>
      <c r="F182" s="11" t="s">
        <v>60</v>
      </c>
      <c r="G182" s="11">
        <v>70</v>
      </c>
      <c r="H182" s="36">
        <v>87</v>
      </c>
      <c r="I182" s="38">
        <v>85</v>
      </c>
    </row>
    <row r="183" spans="2:9" x14ac:dyDescent="0.25">
      <c r="B183" s="37" t="s">
        <v>18</v>
      </c>
      <c r="C183" s="11" t="s">
        <v>14</v>
      </c>
      <c r="D183" s="11">
        <v>14</v>
      </c>
      <c r="E183" s="11">
        <v>8</v>
      </c>
      <c r="F183" s="11" t="s">
        <v>59</v>
      </c>
      <c r="G183" s="11">
        <v>90</v>
      </c>
      <c r="H183" s="36">
        <v>86</v>
      </c>
      <c r="I183" s="38">
        <v>89</v>
      </c>
    </row>
    <row r="184" spans="2:9" x14ac:dyDescent="0.25">
      <c r="B184" s="37" t="s">
        <v>11</v>
      </c>
      <c r="C184" s="11" t="s">
        <v>9</v>
      </c>
      <c r="D184" s="11">
        <v>11</v>
      </c>
      <c r="E184" s="11">
        <v>5</v>
      </c>
      <c r="F184" s="11" t="s">
        <v>59</v>
      </c>
      <c r="G184" s="11">
        <v>82</v>
      </c>
      <c r="H184" s="36">
        <v>83</v>
      </c>
      <c r="I184" s="38">
        <v>91</v>
      </c>
    </row>
    <row r="185" spans="2:9" x14ac:dyDescent="0.25">
      <c r="B185" s="37" t="s">
        <v>17</v>
      </c>
      <c r="C185" s="11" t="s">
        <v>9</v>
      </c>
      <c r="D185" s="11">
        <v>16</v>
      </c>
      <c r="E185" s="11">
        <v>10</v>
      </c>
      <c r="F185" s="11" t="s">
        <v>60</v>
      </c>
      <c r="G185" s="11">
        <v>82</v>
      </c>
      <c r="H185" s="36">
        <v>81</v>
      </c>
      <c r="I185" s="38">
        <v>80</v>
      </c>
    </row>
    <row r="186" spans="2:9" x14ac:dyDescent="0.25">
      <c r="B186" s="37" t="s">
        <v>17</v>
      </c>
      <c r="C186" s="11" t="s">
        <v>9</v>
      </c>
      <c r="D186" s="11">
        <v>11</v>
      </c>
      <c r="E186" s="11">
        <v>6</v>
      </c>
      <c r="F186" s="11" t="s">
        <v>58</v>
      </c>
      <c r="G186" s="11">
        <v>91</v>
      </c>
      <c r="H186" s="36">
        <v>81</v>
      </c>
      <c r="I186" s="38">
        <v>95</v>
      </c>
    </row>
    <row r="187" spans="2:9" x14ac:dyDescent="0.25">
      <c r="B187" s="37" t="s">
        <v>21</v>
      </c>
      <c r="C187" s="11" t="s">
        <v>14</v>
      </c>
      <c r="D187" s="11">
        <v>16</v>
      </c>
      <c r="E187" s="11">
        <v>10</v>
      </c>
      <c r="F187" s="11" t="s">
        <v>58</v>
      </c>
      <c r="G187" s="11">
        <v>81</v>
      </c>
      <c r="H187" s="36">
        <v>80</v>
      </c>
      <c r="I187" s="38">
        <v>87</v>
      </c>
    </row>
    <row r="188" spans="2:9" x14ac:dyDescent="0.25">
      <c r="B188" s="37" t="s">
        <v>8</v>
      </c>
      <c r="C188" s="11" t="s">
        <v>9</v>
      </c>
      <c r="D188" s="11">
        <v>16</v>
      </c>
      <c r="E188" s="11">
        <v>10</v>
      </c>
      <c r="F188" s="11" t="s">
        <v>58</v>
      </c>
      <c r="G188" s="11">
        <v>84</v>
      </c>
      <c r="H188" s="36">
        <v>79</v>
      </c>
      <c r="I188" s="38">
        <v>81</v>
      </c>
    </row>
    <row r="189" spans="2:9" x14ac:dyDescent="0.25">
      <c r="B189" s="37" t="s">
        <v>13</v>
      </c>
      <c r="C189" s="11" t="s">
        <v>14</v>
      </c>
      <c r="D189" s="11">
        <v>15</v>
      </c>
      <c r="E189" s="11">
        <v>8</v>
      </c>
      <c r="F189" s="11" t="s">
        <v>60</v>
      </c>
      <c r="G189" s="11">
        <v>81</v>
      </c>
      <c r="H189" s="36">
        <v>78</v>
      </c>
      <c r="I189" s="38">
        <v>88</v>
      </c>
    </row>
    <row r="190" spans="2:9" x14ac:dyDescent="0.25">
      <c r="B190" s="39" t="s">
        <v>16</v>
      </c>
      <c r="C190" s="33" t="s">
        <v>9</v>
      </c>
      <c r="D190" s="33">
        <v>14</v>
      </c>
      <c r="E190" s="33">
        <v>8</v>
      </c>
      <c r="F190" s="33" t="s">
        <v>61</v>
      </c>
      <c r="G190" s="33">
        <v>70</v>
      </c>
      <c r="H190" s="40">
        <v>75</v>
      </c>
      <c r="I190" s="41">
        <v>79</v>
      </c>
    </row>
    <row r="193" spans="2:9" x14ac:dyDescent="0.25">
      <c r="B193" s="70" t="s">
        <v>168</v>
      </c>
      <c r="C193" s="70"/>
    </row>
    <row r="204" spans="2:9" x14ac:dyDescent="0.25">
      <c r="B204" s="64" t="s">
        <v>169</v>
      </c>
      <c r="C204" s="64"/>
      <c r="D204" s="64"/>
    </row>
    <row r="205" spans="2:9" x14ac:dyDescent="0.25">
      <c r="B205" s="45" t="s">
        <v>1</v>
      </c>
      <c r="C205" s="31" t="s">
        <v>2</v>
      </c>
      <c r="D205" s="31" t="s">
        <v>3</v>
      </c>
      <c r="E205" s="31" t="s">
        <v>4</v>
      </c>
      <c r="F205" s="31" t="s">
        <v>57</v>
      </c>
      <c r="G205" s="31" t="s">
        <v>5</v>
      </c>
      <c r="H205" s="31" t="s">
        <v>6</v>
      </c>
      <c r="I205" s="31" t="s">
        <v>7</v>
      </c>
    </row>
    <row r="206" spans="2:9" x14ac:dyDescent="0.25">
      <c r="B206" s="11" t="s">
        <v>8</v>
      </c>
      <c r="C206" s="11" t="s">
        <v>9</v>
      </c>
      <c r="D206" s="11">
        <v>16</v>
      </c>
      <c r="E206" s="11">
        <v>10</v>
      </c>
      <c r="F206" s="11" t="s">
        <v>58</v>
      </c>
      <c r="G206" s="11">
        <v>84</v>
      </c>
      <c r="H206" s="11">
        <v>79</v>
      </c>
      <c r="I206" s="11">
        <v>81</v>
      </c>
    </row>
    <row r="207" spans="2:9" x14ac:dyDescent="0.25">
      <c r="B207" s="11" t="s">
        <v>11</v>
      </c>
      <c r="C207" s="11" t="s">
        <v>9</v>
      </c>
      <c r="D207" s="11">
        <v>11</v>
      </c>
      <c r="E207" s="11">
        <v>5</v>
      </c>
      <c r="F207" s="11" t="s">
        <v>59</v>
      </c>
      <c r="G207" s="11">
        <v>82</v>
      </c>
      <c r="H207" s="11">
        <v>83</v>
      </c>
      <c r="I207" s="11">
        <v>91</v>
      </c>
    </row>
    <row r="208" spans="2:9" x14ac:dyDescent="0.25">
      <c r="B208" s="11" t="s">
        <v>13</v>
      </c>
      <c r="C208" s="11" t="s">
        <v>14</v>
      </c>
      <c r="D208" s="11">
        <v>15</v>
      </c>
      <c r="E208" s="11">
        <v>8</v>
      </c>
      <c r="F208" s="11" t="s">
        <v>60</v>
      </c>
      <c r="G208" s="11">
        <v>81</v>
      </c>
      <c r="H208" s="11">
        <v>78</v>
      </c>
      <c r="I208" s="11">
        <v>88</v>
      </c>
    </row>
    <row r="209" spans="2:9" x14ac:dyDescent="0.25">
      <c r="B209" s="11" t="s">
        <v>16</v>
      </c>
      <c r="C209" s="11" t="s">
        <v>9</v>
      </c>
      <c r="D209" s="11">
        <v>14</v>
      </c>
      <c r="E209" s="11">
        <v>8</v>
      </c>
      <c r="F209" s="11" t="s">
        <v>61</v>
      </c>
      <c r="G209" s="11">
        <v>70</v>
      </c>
      <c r="H209" s="11">
        <v>75</v>
      </c>
      <c r="I209" s="11">
        <v>79</v>
      </c>
    </row>
    <row r="210" spans="2:9" x14ac:dyDescent="0.25">
      <c r="B210" s="11" t="s">
        <v>12</v>
      </c>
      <c r="C210" s="11" t="s">
        <v>14</v>
      </c>
      <c r="D210" s="11">
        <v>16</v>
      </c>
      <c r="E210" s="11">
        <v>10</v>
      </c>
      <c r="F210" s="11" t="s">
        <v>61</v>
      </c>
      <c r="G210" s="11">
        <v>88</v>
      </c>
      <c r="H210" s="11">
        <v>92</v>
      </c>
      <c r="I210" s="11">
        <v>96</v>
      </c>
    </row>
    <row r="211" spans="2:9" x14ac:dyDescent="0.25">
      <c r="B211" s="11" t="s">
        <v>17</v>
      </c>
      <c r="C211" s="11" t="s">
        <v>9</v>
      </c>
      <c r="D211" s="11">
        <v>16</v>
      </c>
      <c r="E211" s="11">
        <v>10</v>
      </c>
      <c r="F211" s="11" t="s">
        <v>60</v>
      </c>
      <c r="G211" s="11">
        <v>82</v>
      </c>
      <c r="H211" s="11">
        <v>81</v>
      </c>
      <c r="I211" s="11">
        <v>80</v>
      </c>
    </row>
    <row r="212" spans="2:9" x14ac:dyDescent="0.25">
      <c r="B212" s="11" t="s">
        <v>18</v>
      </c>
      <c r="C212" s="11" t="s">
        <v>14</v>
      </c>
      <c r="D212" s="11">
        <v>14</v>
      </c>
      <c r="E212" s="11">
        <v>8</v>
      </c>
      <c r="F212" s="11" t="s">
        <v>59</v>
      </c>
      <c r="G212" s="11">
        <v>90</v>
      </c>
      <c r="H212" s="11">
        <v>86</v>
      </c>
      <c r="I212" s="11">
        <v>89</v>
      </c>
    </row>
    <row r="213" spans="2:9" x14ac:dyDescent="0.25">
      <c r="B213" s="11" t="s">
        <v>19</v>
      </c>
      <c r="C213" s="11" t="s">
        <v>9</v>
      </c>
      <c r="D213" s="11">
        <v>15</v>
      </c>
      <c r="E213" s="11">
        <v>9</v>
      </c>
      <c r="F213" s="11" t="s">
        <v>59</v>
      </c>
      <c r="G213" s="11">
        <v>87</v>
      </c>
      <c r="H213" s="11">
        <v>89</v>
      </c>
      <c r="I213" s="11">
        <v>96</v>
      </c>
    </row>
    <row r="214" spans="2:9" x14ac:dyDescent="0.25">
      <c r="B214" s="11" t="s">
        <v>20</v>
      </c>
      <c r="C214" s="11" t="s">
        <v>14</v>
      </c>
      <c r="D214" s="11">
        <v>17</v>
      </c>
      <c r="E214" s="11">
        <v>10</v>
      </c>
      <c r="F214" s="11" t="s">
        <v>60</v>
      </c>
      <c r="G214" s="11">
        <v>70</v>
      </c>
      <c r="H214" s="11">
        <v>90</v>
      </c>
      <c r="I214" s="11">
        <v>92</v>
      </c>
    </row>
    <row r="215" spans="2:9" x14ac:dyDescent="0.25">
      <c r="B215" s="11" t="s">
        <v>17</v>
      </c>
      <c r="C215" s="11" t="s">
        <v>9</v>
      </c>
      <c r="D215" s="11">
        <v>11</v>
      </c>
      <c r="E215" s="11">
        <v>6</v>
      </c>
      <c r="F215" s="11" t="s">
        <v>58</v>
      </c>
      <c r="G215" s="11">
        <v>91</v>
      </c>
      <c r="H215" s="11">
        <v>81</v>
      </c>
      <c r="I215" s="11">
        <v>95</v>
      </c>
    </row>
    <row r="216" spans="2:9" x14ac:dyDescent="0.25">
      <c r="B216" s="11" t="s">
        <v>15</v>
      </c>
      <c r="C216" s="11" t="s">
        <v>9</v>
      </c>
      <c r="D216" s="11">
        <v>12</v>
      </c>
      <c r="E216" s="11">
        <v>7</v>
      </c>
      <c r="F216" s="11" t="s">
        <v>58</v>
      </c>
      <c r="G216" s="11">
        <v>86</v>
      </c>
      <c r="H216" s="11">
        <v>92</v>
      </c>
      <c r="I216" s="11">
        <v>89</v>
      </c>
    </row>
    <row r="217" spans="2:9" x14ac:dyDescent="0.25">
      <c r="B217" s="11" t="s">
        <v>21</v>
      </c>
      <c r="C217" s="11" t="s">
        <v>14</v>
      </c>
      <c r="D217" s="11">
        <v>16</v>
      </c>
      <c r="E217" s="11">
        <v>10</v>
      </c>
      <c r="F217" s="11" t="s">
        <v>58</v>
      </c>
      <c r="G217" s="11">
        <v>81</v>
      </c>
      <c r="H217" s="11">
        <v>80</v>
      </c>
      <c r="I217" s="11">
        <v>87</v>
      </c>
    </row>
    <row r="218" spans="2:9" x14ac:dyDescent="0.25">
      <c r="B218" s="11" t="s">
        <v>22</v>
      </c>
      <c r="C218" s="11" t="s">
        <v>14</v>
      </c>
      <c r="D218" s="11">
        <v>11</v>
      </c>
      <c r="E218" s="11">
        <v>6</v>
      </c>
      <c r="F218" s="11" t="s">
        <v>60</v>
      </c>
      <c r="G218" s="11">
        <v>88</v>
      </c>
      <c r="H218" s="11">
        <v>90</v>
      </c>
      <c r="I218" s="11">
        <v>92</v>
      </c>
    </row>
    <row r="219" spans="2:9" x14ac:dyDescent="0.25">
      <c r="B219" s="11" t="s">
        <v>23</v>
      </c>
      <c r="C219" s="11" t="s">
        <v>14</v>
      </c>
      <c r="D219" s="11">
        <v>16</v>
      </c>
      <c r="E219" s="11">
        <v>10</v>
      </c>
      <c r="F219" s="11" t="s">
        <v>60</v>
      </c>
      <c r="G219" s="11">
        <v>70</v>
      </c>
      <c r="H219" s="11">
        <v>87</v>
      </c>
      <c r="I219" s="11">
        <v>85</v>
      </c>
    </row>
    <row r="220" spans="2:9" x14ac:dyDescent="0.25">
      <c r="B220" s="11" t="s">
        <v>10</v>
      </c>
      <c r="C220" s="11" t="s">
        <v>14</v>
      </c>
      <c r="D220" s="11">
        <v>14</v>
      </c>
      <c r="E220" s="11">
        <v>8</v>
      </c>
      <c r="F220" s="11" t="s">
        <v>61</v>
      </c>
      <c r="G220" s="11">
        <v>91</v>
      </c>
      <c r="H220" s="11">
        <v>96</v>
      </c>
      <c r="I220" s="11">
        <v>98</v>
      </c>
    </row>
    <row r="222" spans="2:9" x14ac:dyDescent="0.25">
      <c r="B222" s="2" t="s">
        <v>177</v>
      </c>
    </row>
    <row r="223" spans="2:9" x14ac:dyDescent="0.25">
      <c r="E223" s="13" t="s">
        <v>174</v>
      </c>
      <c r="F223" s="13" t="s">
        <v>170</v>
      </c>
    </row>
    <row r="224" spans="2:9" x14ac:dyDescent="0.25">
      <c r="E224" s="11" t="s">
        <v>11</v>
      </c>
      <c r="F224" s="11" t="s">
        <v>171</v>
      </c>
    </row>
    <row r="225" spans="2:6" x14ac:dyDescent="0.25">
      <c r="B225" t="s">
        <v>170</v>
      </c>
      <c r="E225" s="11" t="s">
        <v>15</v>
      </c>
      <c r="F225" s="11" t="s">
        <v>172</v>
      </c>
    </row>
    <row r="226" spans="2:6" x14ac:dyDescent="0.25">
      <c r="B226" t="s">
        <v>171</v>
      </c>
      <c r="E226" s="11" t="s">
        <v>175</v>
      </c>
      <c r="F226" s="11" t="s">
        <v>172</v>
      </c>
    </row>
    <row r="227" spans="2:6" x14ac:dyDescent="0.25">
      <c r="B227" t="s">
        <v>172</v>
      </c>
      <c r="E227" s="11" t="s">
        <v>16</v>
      </c>
      <c r="F227" s="11" t="s">
        <v>173</v>
      </c>
    </row>
    <row r="228" spans="2:6" x14ac:dyDescent="0.25">
      <c r="B228" t="s">
        <v>173</v>
      </c>
      <c r="E228" s="11" t="s">
        <v>10</v>
      </c>
      <c r="F228" s="11" t="s">
        <v>171</v>
      </c>
    </row>
    <row r="231" spans="2:6" x14ac:dyDescent="0.25">
      <c r="B231" s="23" t="s">
        <v>178</v>
      </c>
    </row>
    <row r="233" spans="2:6" x14ac:dyDescent="0.25">
      <c r="B233" s="2" t="s">
        <v>193</v>
      </c>
      <c r="C233" t="s">
        <v>1</v>
      </c>
    </row>
    <row r="234" spans="2:6" x14ac:dyDescent="0.25">
      <c r="B234" s="46" t="s">
        <v>179</v>
      </c>
      <c r="C234" s="46" t="s">
        <v>11</v>
      </c>
      <c r="D234" t="s">
        <v>194</v>
      </c>
    </row>
    <row r="235" spans="2:6" x14ac:dyDescent="0.25">
      <c r="B235" s="46" t="s">
        <v>180</v>
      </c>
      <c r="C235" s="46" t="s">
        <v>15</v>
      </c>
      <c r="D235" t="s">
        <v>194</v>
      </c>
    </row>
    <row r="236" spans="2:6" x14ac:dyDescent="0.25">
      <c r="B236" s="46" t="s">
        <v>182</v>
      </c>
      <c r="C236" s="46" t="s">
        <v>18</v>
      </c>
      <c r="D236" t="s">
        <v>195</v>
      </c>
    </row>
    <row r="237" spans="2:6" x14ac:dyDescent="0.25">
      <c r="B237" s="46" t="s">
        <v>183</v>
      </c>
      <c r="C237" s="46" t="s">
        <v>16</v>
      </c>
      <c r="D237" t="s">
        <v>195</v>
      </c>
    </row>
    <row r="238" spans="2:6" x14ac:dyDescent="0.25">
      <c r="B238" s="46" t="s">
        <v>184</v>
      </c>
      <c r="C238" s="46" t="s">
        <v>19</v>
      </c>
      <c r="D238" t="s">
        <v>195</v>
      </c>
    </row>
    <row r="239" spans="2:6" x14ac:dyDescent="0.25">
      <c r="B239" s="46" t="s">
        <v>185</v>
      </c>
      <c r="C239" s="46" t="s">
        <v>196</v>
      </c>
      <c r="D239" t="s">
        <v>195</v>
      </c>
    </row>
    <row r="240" spans="2:6" x14ac:dyDescent="0.25">
      <c r="B240" s="46" t="s">
        <v>186</v>
      </c>
      <c r="C240" s="46" t="s">
        <v>197</v>
      </c>
      <c r="D240" t="s">
        <v>195</v>
      </c>
    </row>
    <row r="241" spans="2:4" x14ac:dyDescent="0.25">
      <c r="B241" s="46" t="s">
        <v>181</v>
      </c>
      <c r="C241" s="46" t="s">
        <v>10</v>
      </c>
      <c r="D241" t="s">
        <v>194</v>
      </c>
    </row>
    <row r="242" spans="2:4" x14ac:dyDescent="0.25">
      <c r="B242" s="46" t="s">
        <v>187</v>
      </c>
      <c r="C242" s="46" t="s">
        <v>12</v>
      </c>
      <c r="D242" t="s">
        <v>194</v>
      </c>
    </row>
    <row r="243" spans="2:4" x14ac:dyDescent="0.25">
      <c r="B243" s="46" t="s">
        <v>188</v>
      </c>
      <c r="C243" s="46" t="s">
        <v>21</v>
      </c>
      <c r="D243" t="s">
        <v>194</v>
      </c>
    </row>
    <row r="244" spans="2:4" x14ac:dyDescent="0.25">
      <c r="B244" s="46" t="s">
        <v>189</v>
      </c>
      <c r="C244" s="46" t="s">
        <v>198</v>
      </c>
      <c r="D244" t="s">
        <v>194</v>
      </c>
    </row>
    <row r="245" spans="2:4" x14ac:dyDescent="0.25">
      <c r="B245" s="46" t="s">
        <v>190</v>
      </c>
      <c r="C245" s="46" t="s">
        <v>17</v>
      </c>
      <c r="D245" t="s">
        <v>194</v>
      </c>
    </row>
    <row r="246" spans="2:4" x14ac:dyDescent="0.25">
      <c r="B246" s="46" t="s">
        <v>191</v>
      </c>
      <c r="C246" s="46" t="s">
        <v>93</v>
      </c>
      <c r="D246" t="s">
        <v>194</v>
      </c>
    </row>
    <row r="247" spans="2:4" x14ac:dyDescent="0.25">
      <c r="B247" t="s">
        <v>192</v>
      </c>
      <c r="C247" s="46" t="s">
        <v>20</v>
      </c>
      <c r="D247" t="s">
        <v>194</v>
      </c>
    </row>
    <row r="249" spans="2:4" x14ac:dyDescent="0.25">
      <c r="B249" t="s">
        <v>200</v>
      </c>
    </row>
    <row r="250" spans="2:4" x14ac:dyDescent="0.25">
      <c r="B250" s="48" t="s">
        <v>174</v>
      </c>
      <c r="C250" s="49" t="s">
        <v>7</v>
      </c>
    </row>
    <row r="251" spans="2:4" x14ac:dyDescent="0.25">
      <c r="B251" s="11" t="s">
        <v>8</v>
      </c>
      <c r="C251" s="11">
        <v>81</v>
      </c>
    </row>
    <row r="252" spans="2:4" x14ac:dyDescent="0.25">
      <c r="B252" s="11" t="s">
        <v>11</v>
      </c>
      <c r="C252" s="11">
        <v>91</v>
      </c>
    </row>
    <row r="253" spans="2:4" x14ac:dyDescent="0.25">
      <c r="B253" s="11" t="s">
        <v>13</v>
      </c>
      <c r="C253" s="11">
        <v>88</v>
      </c>
    </row>
    <row r="254" spans="2:4" x14ac:dyDescent="0.25">
      <c r="B254" s="11" t="s">
        <v>16</v>
      </c>
      <c r="C254" s="11">
        <v>79</v>
      </c>
    </row>
    <row r="255" spans="2:4" x14ac:dyDescent="0.25">
      <c r="B255" s="11" t="s">
        <v>12</v>
      </c>
      <c r="C255" s="11">
        <v>96</v>
      </c>
    </row>
    <row r="256" spans="2:4" x14ac:dyDescent="0.25">
      <c r="B256" s="11" t="s">
        <v>17</v>
      </c>
      <c r="C256" s="11">
        <v>80</v>
      </c>
    </row>
    <row r="257" spans="2:12" x14ac:dyDescent="0.25">
      <c r="B257" s="11" t="s">
        <v>18</v>
      </c>
      <c r="C257" s="11">
        <v>89</v>
      </c>
    </row>
    <row r="258" spans="2:12" x14ac:dyDescent="0.25">
      <c r="B258" s="11" t="s">
        <v>19</v>
      </c>
      <c r="C258" s="11">
        <v>96</v>
      </c>
    </row>
    <row r="259" spans="2:12" x14ac:dyDescent="0.25">
      <c r="B259" s="11" t="s">
        <v>20</v>
      </c>
      <c r="C259" s="11">
        <v>92</v>
      </c>
    </row>
    <row r="260" spans="2:12" x14ac:dyDescent="0.25">
      <c r="B260" s="11" t="s">
        <v>17</v>
      </c>
      <c r="C260" s="11">
        <v>95</v>
      </c>
    </row>
    <row r="261" spans="2:12" x14ac:dyDescent="0.25">
      <c r="B261" s="11" t="s">
        <v>15</v>
      </c>
      <c r="C261" s="11">
        <v>89</v>
      </c>
    </row>
    <row r="262" spans="2:12" x14ac:dyDescent="0.25">
      <c r="B262" s="11" t="s">
        <v>21</v>
      </c>
      <c r="C262" s="11">
        <v>87</v>
      </c>
    </row>
    <row r="263" spans="2:12" x14ac:dyDescent="0.25">
      <c r="B263" s="11" t="s">
        <v>22</v>
      </c>
      <c r="C263" s="11">
        <v>92</v>
      </c>
    </row>
    <row r="264" spans="2:12" x14ac:dyDescent="0.25">
      <c r="B264" s="11" t="s">
        <v>23</v>
      </c>
      <c r="C264" s="11">
        <v>85</v>
      </c>
    </row>
    <row r="265" spans="2:12" x14ac:dyDescent="0.25">
      <c r="B265" s="11" t="s">
        <v>10</v>
      </c>
      <c r="C265" s="11">
        <v>98</v>
      </c>
    </row>
    <row r="268" spans="2:12" x14ac:dyDescent="0.25">
      <c r="B268" s="8" t="s">
        <v>56</v>
      </c>
    </row>
    <row r="269" spans="2:12" x14ac:dyDescent="0.25">
      <c r="B269" s="13" t="s">
        <v>1</v>
      </c>
      <c r="C269" s="13" t="s">
        <v>2</v>
      </c>
      <c r="D269" s="13" t="s">
        <v>3</v>
      </c>
      <c r="E269" s="13" t="s">
        <v>4</v>
      </c>
      <c r="F269" s="13" t="s">
        <v>57</v>
      </c>
      <c r="G269" s="13" t="s">
        <v>5</v>
      </c>
      <c r="H269" s="13" t="s">
        <v>6</v>
      </c>
      <c r="I269" s="13" t="s">
        <v>7</v>
      </c>
      <c r="K269" s="13" t="s">
        <v>1</v>
      </c>
      <c r="L269" s="13" t="s">
        <v>7</v>
      </c>
    </row>
    <row r="270" spans="2:12" x14ac:dyDescent="0.25">
      <c r="B270" s="11" t="s">
        <v>8</v>
      </c>
      <c r="C270" s="11" t="s">
        <v>9</v>
      </c>
      <c r="D270" s="11">
        <v>16</v>
      </c>
      <c r="E270" s="11">
        <v>10</v>
      </c>
      <c r="F270" s="11" t="s">
        <v>58</v>
      </c>
      <c r="G270" s="11">
        <v>84</v>
      </c>
      <c r="H270" s="11">
        <v>79</v>
      </c>
      <c r="I270" s="11">
        <v>81</v>
      </c>
      <c r="K270" s="11" t="s">
        <v>10</v>
      </c>
      <c r="L270" s="34">
        <f>VLOOKUP(K270,$B$269:$I$284,8,0)</f>
        <v>98</v>
      </c>
    </row>
    <row r="271" spans="2:12" x14ac:dyDescent="0.25">
      <c r="B271" s="11" t="s">
        <v>11</v>
      </c>
      <c r="C271" s="11" t="s">
        <v>9</v>
      </c>
      <c r="D271" s="11">
        <v>11</v>
      </c>
      <c r="E271" s="11">
        <v>5</v>
      </c>
      <c r="F271" s="11" t="s">
        <v>59</v>
      </c>
      <c r="G271" s="11">
        <v>82</v>
      </c>
      <c r="H271" s="11">
        <v>83</v>
      </c>
      <c r="I271" s="11">
        <v>91</v>
      </c>
      <c r="K271" s="11" t="s">
        <v>12</v>
      </c>
      <c r="L271" s="34">
        <f t="shared" ref="L271:L274" si="8">VLOOKUP(K271,$B$269:$I$284,8,0)</f>
        <v>96</v>
      </c>
    </row>
    <row r="272" spans="2:12" x14ac:dyDescent="0.25">
      <c r="B272" s="11" t="s">
        <v>13</v>
      </c>
      <c r="C272" s="11" t="s">
        <v>14</v>
      </c>
      <c r="D272" s="11">
        <v>15</v>
      </c>
      <c r="E272" s="11">
        <v>8</v>
      </c>
      <c r="F272" s="11" t="s">
        <v>60</v>
      </c>
      <c r="G272" s="11">
        <v>81</v>
      </c>
      <c r="H272" s="11">
        <v>78</v>
      </c>
      <c r="I272" s="11">
        <v>88</v>
      </c>
      <c r="K272" s="11" t="s">
        <v>15</v>
      </c>
      <c r="L272" s="34">
        <f t="shared" si="8"/>
        <v>89</v>
      </c>
    </row>
    <row r="273" spans="2:12" x14ac:dyDescent="0.25">
      <c r="B273" s="11" t="s">
        <v>16</v>
      </c>
      <c r="C273" s="11" t="s">
        <v>9</v>
      </c>
      <c r="D273" s="11">
        <v>14</v>
      </c>
      <c r="E273" s="11">
        <v>8</v>
      </c>
      <c r="F273" s="11" t="s">
        <v>61</v>
      </c>
      <c r="G273" s="11">
        <v>70</v>
      </c>
      <c r="H273" s="11">
        <v>75</v>
      </c>
      <c r="I273" s="11">
        <v>79</v>
      </c>
      <c r="K273" s="11" t="s">
        <v>17</v>
      </c>
      <c r="L273" s="34">
        <f t="shared" si="8"/>
        <v>80</v>
      </c>
    </row>
    <row r="274" spans="2:12" x14ac:dyDescent="0.25">
      <c r="B274" s="11" t="s">
        <v>12</v>
      </c>
      <c r="C274" s="11" t="s">
        <v>14</v>
      </c>
      <c r="D274" s="11">
        <v>16</v>
      </c>
      <c r="E274" s="11">
        <v>10</v>
      </c>
      <c r="F274" s="11" t="s">
        <v>61</v>
      </c>
      <c r="G274" s="11">
        <v>88</v>
      </c>
      <c r="H274" s="11">
        <v>92</v>
      </c>
      <c r="I274" s="11">
        <v>96</v>
      </c>
      <c r="K274" s="11" t="s">
        <v>8</v>
      </c>
      <c r="L274" s="34">
        <f t="shared" si="8"/>
        <v>81</v>
      </c>
    </row>
    <row r="275" spans="2:12" x14ac:dyDescent="0.25">
      <c r="B275" s="11" t="s">
        <v>17</v>
      </c>
      <c r="C275" s="11" t="s">
        <v>9</v>
      </c>
      <c r="D275" s="11">
        <v>16</v>
      </c>
      <c r="E275" s="11">
        <v>10</v>
      </c>
      <c r="F275" s="11" t="s">
        <v>60</v>
      </c>
      <c r="G275" s="11">
        <v>82</v>
      </c>
      <c r="H275" s="11">
        <v>81</v>
      </c>
      <c r="I275" s="11">
        <v>80</v>
      </c>
    </row>
    <row r="276" spans="2:12" x14ac:dyDescent="0.25">
      <c r="B276" s="11" t="s">
        <v>18</v>
      </c>
      <c r="C276" s="11" t="s">
        <v>14</v>
      </c>
      <c r="D276" s="11">
        <v>14</v>
      </c>
      <c r="E276" s="11">
        <v>8</v>
      </c>
      <c r="F276" s="11" t="s">
        <v>59</v>
      </c>
      <c r="G276" s="11">
        <v>90</v>
      </c>
      <c r="H276" s="11">
        <v>86</v>
      </c>
      <c r="I276" s="11">
        <v>89</v>
      </c>
    </row>
    <row r="277" spans="2:12" x14ac:dyDescent="0.25">
      <c r="B277" s="11" t="s">
        <v>19</v>
      </c>
      <c r="C277" s="11" t="s">
        <v>9</v>
      </c>
      <c r="D277" s="11">
        <v>15</v>
      </c>
      <c r="E277" s="11">
        <v>9</v>
      </c>
      <c r="F277" s="11" t="s">
        <v>59</v>
      </c>
      <c r="G277" s="11">
        <v>87</v>
      </c>
      <c r="H277" s="11">
        <v>89</v>
      </c>
      <c r="I277" s="11">
        <v>96</v>
      </c>
    </row>
    <row r="278" spans="2:12" x14ac:dyDescent="0.25">
      <c r="B278" s="11" t="s">
        <v>20</v>
      </c>
      <c r="C278" s="11" t="s">
        <v>14</v>
      </c>
      <c r="D278" s="11">
        <v>17</v>
      </c>
      <c r="E278" s="11">
        <v>10</v>
      </c>
      <c r="F278" s="11" t="s">
        <v>60</v>
      </c>
      <c r="G278" s="11">
        <v>70</v>
      </c>
      <c r="H278" s="11">
        <v>90</v>
      </c>
      <c r="I278" s="11">
        <v>92</v>
      </c>
    </row>
    <row r="279" spans="2:12" x14ac:dyDescent="0.25">
      <c r="B279" s="11" t="s">
        <v>17</v>
      </c>
      <c r="C279" s="11" t="s">
        <v>9</v>
      </c>
      <c r="D279" s="11">
        <v>11</v>
      </c>
      <c r="E279" s="11">
        <v>6</v>
      </c>
      <c r="F279" s="11" t="s">
        <v>58</v>
      </c>
      <c r="G279" s="11">
        <v>91</v>
      </c>
      <c r="H279" s="11">
        <v>81</v>
      </c>
      <c r="I279" s="11">
        <v>95</v>
      </c>
    </row>
    <row r="280" spans="2:12" x14ac:dyDescent="0.25">
      <c r="B280" s="11" t="s">
        <v>15</v>
      </c>
      <c r="C280" s="11" t="s">
        <v>9</v>
      </c>
      <c r="D280" s="11">
        <v>12</v>
      </c>
      <c r="E280" s="11">
        <v>7</v>
      </c>
      <c r="F280" s="11" t="s">
        <v>58</v>
      </c>
      <c r="G280" s="11">
        <v>86</v>
      </c>
      <c r="H280" s="11">
        <v>92</v>
      </c>
      <c r="I280" s="11">
        <v>89</v>
      </c>
    </row>
    <row r="281" spans="2:12" x14ac:dyDescent="0.25">
      <c r="B281" s="11" t="s">
        <v>21</v>
      </c>
      <c r="C281" s="11" t="s">
        <v>14</v>
      </c>
      <c r="D281" s="11">
        <v>16</v>
      </c>
      <c r="E281" s="11">
        <v>10</v>
      </c>
      <c r="F281" s="11" t="s">
        <v>58</v>
      </c>
      <c r="G281" s="11">
        <v>81</v>
      </c>
      <c r="H281" s="11">
        <v>80</v>
      </c>
      <c r="I281" s="11">
        <v>87</v>
      </c>
    </row>
    <row r="282" spans="2:12" x14ac:dyDescent="0.25">
      <c r="B282" s="11" t="s">
        <v>22</v>
      </c>
      <c r="C282" s="11" t="s">
        <v>14</v>
      </c>
      <c r="D282" s="11">
        <v>11</v>
      </c>
      <c r="E282" s="11">
        <v>6</v>
      </c>
      <c r="F282" s="11" t="s">
        <v>60</v>
      </c>
      <c r="G282" s="11">
        <v>88</v>
      </c>
      <c r="H282" s="11">
        <v>90</v>
      </c>
      <c r="I282" s="11">
        <v>92</v>
      </c>
    </row>
    <row r="283" spans="2:12" x14ac:dyDescent="0.25">
      <c r="B283" s="11" t="s">
        <v>23</v>
      </c>
      <c r="C283" s="11" t="s">
        <v>14</v>
      </c>
      <c r="D283" s="11">
        <v>16</v>
      </c>
      <c r="E283" s="11">
        <v>10</v>
      </c>
      <c r="F283" s="11" t="s">
        <v>60</v>
      </c>
      <c r="G283" s="11">
        <v>70</v>
      </c>
      <c r="H283" s="11">
        <v>87</v>
      </c>
      <c r="I283" s="11">
        <v>85</v>
      </c>
    </row>
    <row r="284" spans="2:12" x14ac:dyDescent="0.25">
      <c r="B284" s="11" t="s">
        <v>10</v>
      </c>
      <c r="C284" s="11" t="s">
        <v>14</v>
      </c>
      <c r="D284" s="11">
        <v>14</v>
      </c>
      <c r="E284" s="11">
        <v>8</v>
      </c>
      <c r="F284" s="11" t="s">
        <v>61</v>
      </c>
      <c r="G284" s="11">
        <v>91</v>
      </c>
      <c r="H284" s="11">
        <v>96</v>
      </c>
      <c r="I284" s="11">
        <v>98</v>
      </c>
    </row>
    <row r="286" spans="2:12" x14ac:dyDescent="0.25">
      <c r="B286" s="2" t="s">
        <v>203</v>
      </c>
    </row>
    <row r="287" spans="2:12" x14ac:dyDescent="0.25">
      <c r="B287" s="13" t="s">
        <v>1</v>
      </c>
      <c r="C287" s="13" t="s">
        <v>2</v>
      </c>
      <c r="D287" s="13" t="s">
        <v>3</v>
      </c>
      <c r="E287" s="13" t="s">
        <v>4</v>
      </c>
      <c r="F287" s="13" t="s">
        <v>57</v>
      </c>
      <c r="G287" s="13" t="s">
        <v>5</v>
      </c>
      <c r="H287" s="13" t="s">
        <v>6</v>
      </c>
      <c r="I287" s="13" t="s">
        <v>7</v>
      </c>
    </row>
    <row r="288" spans="2:12" x14ac:dyDescent="0.25">
      <c r="B288" s="11" t="s">
        <v>8</v>
      </c>
      <c r="C288" s="11" t="s">
        <v>9</v>
      </c>
      <c r="D288" s="11">
        <v>16</v>
      </c>
      <c r="E288" s="11">
        <v>10</v>
      </c>
      <c r="F288" s="11" t="s">
        <v>58</v>
      </c>
      <c r="G288" s="11">
        <v>84</v>
      </c>
      <c r="H288" s="11">
        <v>79</v>
      </c>
      <c r="I288" s="11">
        <v>81</v>
      </c>
    </row>
    <row r="289" spans="2:9" x14ac:dyDescent="0.25">
      <c r="B289" s="11" t="s">
        <v>11</v>
      </c>
      <c r="C289" s="11" t="s">
        <v>9</v>
      </c>
      <c r="D289" s="11">
        <v>11</v>
      </c>
      <c r="E289" s="11">
        <v>5</v>
      </c>
      <c r="F289" s="11" t="s">
        <v>59</v>
      </c>
      <c r="G289" s="11">
        <v>82</v>
      </c>
      <c r="H289" s="11">
        <v>83</v>
      </c>
      <c r="I289" s="11">
        <v>91</v>
      </c>
    </row>
    <row r="290" spans="2:9" x14ac:dyDescent="0.25">
      <c r="B290" s="11" t="s">
        <v>13</v>
      </c>
      <c r="C290" s="11" t="s">
        <v>14</v>
      </c>
      <c r="D290" s="11">
        <v>15</v>
      </c>
      <c r="E290" s="11">
        <v>8</v>
      </c>
      <c r="F290" s="11" t="s">
        <v>60</v>
      </c>
      <c r="G290" s="11">
        <v>81</v>
      </c>
      <c r="H290" s="11">
        <v>78</v>
      </c>
      <c r="I290" s="11">
        <v>88</v>
      </c>
    </row>
    <row r="291" spans="2:9" x14ac:dyDescent="0.25">
      <c r="B291" s="11" t="s">
        <v>16</v>
      </c>
      <c r="C291" s="11" t="s">
        <v>9</v>
      </c>
      <c r="D291" s="11">
        <v>14</v>
      </c>
      <c r="E291" s="11">
        <v>8</v>
      </c>
      <c r="F291" s="11" t="s">
        <v>61</v>
      </c>
      <c r="G291" s="11">
        <v>70</v>
      </c>
      <c r="H291" s="11">
        <v>75</v>
      </c>
      <c r="I291" s="11">
        <v>79</v>
      </c>
    </row>
    <row r="292" spans="2:9" x14ac:dyDescent="0.25">
      <c r="B292" s="11" t="s">
        <v>12</v>
      </c>
      <c r="C292" s="11" t="s">
        <v>14</v>
      </c>
      <c r="D292" s="11">
        <v>16</v>
      </c>
      <c r="E292" s="11">
        <v>10</v>
      </c>
      <c r="F292" s="11" t="s">
        <v>61</v>
      </c>
      <c r="G292" s="11">
        <v>88</v>
      </c>
      <c r="H292" s="11">
        <v>92</v>
      </c>
      <c r="I292" s="11">
        <v>96</v>
      </c>
    </row>
    <row r="293" spans="2:9" x14ac:dyDescent="0.25">
      <c r="B293" s="11" t="s">
        <v>17</v>
      </c>
      <c r="C293" s="11" t="s">
        <v>9</v>
      </c>
      <c r="D293" s="11">
        <v>16</v>
      </c>
      <c r="E293" s="11">
        <v>10</v>
      </c>
      <c r="F293" s="11" t="s">
        <v>60</v>
      </c>
      <c r="G293" s="11">
        <v>82</v>
      </c>
      <c r="H293" s="11">
        <v>81</v>
      </c>
      <c r="I293" s="11">
        <v>80</v>
      </c>
    </row>
    <row r="294" spans="2:9" x14ac:dyDescent="0.25">
      <c r="B294" s="11" t="s">
        <v>18</v>
      </c>
      <c r="C294" s="11" t="s">
        <v>14</v>
      </c>
      <c r="D294" s="11">
        <v>14</v>
      </c>
      <c r="E294" s="11">
        <v>8</v>
      </c>
      <c r="F294" s="11" t="s">
        <v>59</v>
      </c>
      <c r="G294" s="11">
        <v>90</v>
      </c>
      <c r="H294" s="11">
        <v>86</v>
      </c>
      <c r="I294" s="11">
        <v>89</v>
      </c>
    </row>
    <row r="295" spans="2:9" x14ac:dyDescent="0.25">
      <c r="B295" s="11" t="s">
        <v>19</v>
      </c>
      <c r="C295" s="11" t="s">
        <v>9</v>
      </c>
      <c r="D295" s="11">
        <v>15</v>
      </c>
      <c r="E295" s="11">
        <v>9</v>
      </c>
      <c r="F295" s="11" t="s">
        <v>59</v>
      </c>
      <c r="G295" s="11">
        <v>87</v>
      </c>
      <c r="H295" s="11">
        <v>89</v>
      </c>
      <c r="I295" s="11">
        <v>96</v>
      </c>
    </row>
    <row r="296" spans="2:9" x14ac:dyDescent="0.25">
      <c r="B296" s="11" t="s">
        <v>20</v>
      </c>
      <c r="C296" s="11" t="s">
        <v>14</v>
      </c>
      <c r="D296" s="11">
        <v>17</v>
      </c>
      <c r="E296" s="11">
        <v>10</v>
      </c>
      <c r="F296" s="11" t="s">
        <v>60</v>
      </c>
      <c r="G296" s="11">
        <v>70</v>
      </c>
      <c r="H296" s="11">
        <v>90</v>
      </c>
      <c r="I296" s="11">
        <v>92</v>
      </c>
    </row>
    <row r="297" spans="2:9" x14ac:dyDescent="0.25">
      <c r="B297" s="11" t="s">
        <v>17</v>
      </c>
      <c r="C297" s="11" t="s">
        <v>9</v>
      </c>
      <c r="D297" s="11">
        <v>11</v>
      </c>
      <c r="E297" s="11">
        <v>6</v>
      </c>
      <c r="F297" s="11" t="s">
        <v>58</v>
      </c>
      <c r="G297" s="11">
        <v>91</v>
      </c>
      <c r="H297" s="11">
        <v>81</v>
      </c>
      <c r="I297" s="11">
        <v>95</v>
      </c>
    </row>
    <row r="298" spans="2:9" x14ac:dyDescent="0.25">
      <c r="B298" s="11" t="s">
        <v>15</v>
      </c>
      <c r="C298" s="11" t="s">
        <v>9</v>
      </c>
      <c r="D298" s="11">
        <v>12</v>
      </c>
      <c r="E298" s="11">
        <v>7</v>
      </c>
      <c r="F298" s="11" t="s">
        <v>58</v>
      </c>
      <c r="G298" s="11">
        <v>86</v>
      </c>
      <c r="H298" s="11">
        <v>92</v>
      </c>
      <c r="I298" s="11">
        <v>89</v>
      </c>
    </row>
    <row r="299" spans="2:9" x14ac:dyDescent="0.25">
      <c r="B299" s="11" t="s">
        <v>21</v>
      </c>
      <c r="C299" s="11" t="s">
        <v>14</v>
      </c>
      <c r="D299" s="11">
        <v>16</v>
      </c>
      <c r="E299" s="11">
        <v>10</v>
      </c>
      <c r="F299" s="11" t="s">
        <v>58</v>
      </c>
      <c r="G299" s="11">
        <v>81</v>
      </c>
      <c r="H299" s="11">
        <v>80</v>
      </c>
      <c r="I299" s="11">
        <v>87</v>
      </c>
    </row>
    <row r="300" spans="2:9" x14ac:dyDescent="0.25">
      <c r="B300" s="11" t="s">
        <v>22</v>
      </c>
      <c r="C300" s="11" t="s">
        <v>14</v>
      </c>
      <c r="D300" s="11">
        <v>11</v>
      </c>
      <c r="E300" s="11">
        <v>6</v>
      </c>
      <c r="F300" s="11" t="s">
        <v>60</v>
      </c>
      <c r="G300" s="11">
        <v>88</v>
      </c>
      <c r="H300" s="11">
        <v>90</v>
      </c>
      <c r="I300" s="11">
        <v>92</v>
      </c>
    </row>
    <row r="301" spans="2:9" x14ac:dyDescent="0.25">
      <c r="B301" s="11" t="s">
        <v>23</v>
      </c>
      <c r="C301" s="11" t="s">
        <v>14</v>
      </c>
      <c r="D301" s="11">
        <v>16</v>
      </c>
      <c r="E301" s="11">
        <v>10</v>
      </c>
      <c r="F301" s="11" t="s">
        <v>60</v>
      </c>
      <c r="G301" s="11">
        <v>70</v>
      </c>
      <c r="H301" s="11">
        <v>87</v>
      </c>
      <c r="I301" s="11">
        <v>85</v>
      </c>
    </row>
    <row r="302" spans="2:9" x14ac:dyDescent="0.25">
      <c r="B302" s="11" t="s">
        <v>10</v>
      </c>
      <c r="C302" s="11" t="s">
        <v>14</v>
      </c>
      <c r="D302" s="11">
        <v>14</v>
      </c>
      <c r="E302" s="11">
        <v>8</v>
      </c>
      <c r="F302" s="11" t="s">
        <v>61</v>
      </c>
      <c r="G302" s="11">
        <v>91</v>
      </c>
      <c r="H302" s="11">
        <v>96</v>
      </c>
      <c r="I302" s="11">
        <v>98</v>
      </c>
    </row>
    <row r="303" spans="2:9" x14ac:dyDescent="0.25">
      <c r="B303" s="1"/>
      <c r="C303" s="1"/>
      <c r="D303" s="1"/>
      <c r="E303" s="1"/>
      <c r="F303" s="1"/>
      <c r="G303" s="1"/>
      <c r="H303" s="1"/>
      <c r="I303" s="1"/>
    </row>
    <row r="304" spans="2:9" x14ac:dyDescent="0.25">
      <c r="B304" s="1"/>
      <c r="C304" s="1"/>
      <c r="D304" s="1"/>
      <c r="E304" s="1"/>
      <c r="F304" s="1"/>
      <c r="G304" s="1"/>
      <c r="H304" s="1"/>
      <c r="I304" s="1"/>
    </row>
    <row r="305" spans="2:9" x14ac:dyDescent="0.25">
      <c r="B305" s="1"/>
      <c r="C305" s="1"/>
      <c r="D305" s="1"/>
      <c r="E305" s="1"/>
      <c r="F305" s="1"/>
      <c r="G305" s="1"/>
      <c r="H305" s="1"/>
      <c r="I305" s="1"/>
    </row>
    <row r="307" spans="2:9" x14ac:dyDescent="0.25">
      <c r="B307" s="31" t="s">
        <v>2</v>
      </c>
      <c r="C307" s="31" t="s">
        <v>65</v>
      </c>
    </row>
    <row r="308" spans="2:9" x14ac:dyDescent="0.25">
      <c r="B308" s="11" t="s">
        <v>14</v>
      </c>
      <c r="C308" s="50">
        <v>727</v>
      </c>
    </row>
    <row r="309" spans="2:9" x14ac:dyDescent="0.25">
      <c r="B309" s="11" t="s">
        <v>9</v>
      </c>
      <c r="C309" s="11">
        <v>611</v>
      </c>
    </row>
    <row r="310" spans="2:9" x14ac:dyDescent="0.25">
      <c r="B310" s="1"/>
      <c r="C310" s="1"/>
    </row>
    <row r="311" spans="2:9" x14ac:dyDescent="0.25">
      <c r="B311" s="31" t="s">
        <v>65</v>
      </c>
      <c r="C311" s="31" t="s">
        <v>205</v>
      </c>
      <c r="D311" s="31"/>
      <c r="E311" s="31"/>
    </row>
    <row r="312" spans="2:9" x14ac:dyDescent="0.25">
      <c r="B312" s="31" t="s">
        <v>64</v>
      </c>
      <c r="C312" s="31" t="s">
        <v>14</v>
      </c>
      <c r="D312" s="31" t="s">
        <v>9</v>
      </c>
      <c r="E312" s="31" t="s">
        <v>204</v>
      </c>
    </row>
    <row r="313" spans="2:9" x14ac:dyDescent="0.25">
      <c r="B313" s="11" t="s">
        <v>60</v>
      </c>
      <c r="C313" s="11">
        <v>357</v>
      </c>
      <c r="D313" s="11">
        <v>80</v>
      </c>
      <c r="E313" s="50">
        <v>437</v>
      </c>
    </row>
    <row r="314" spans="2:9" x14ac:dyDescent="0.25">
      <c r="B314" s="11" t="s">
        <v>59</v>
      </c>
      <c r="C314" s="11">
        <v>89</v>
      </c>
      <c r="D314" s="11">
        <v>187</v>
      </c>
      <c r="E314" s="50">
        <v>276</v>
      </c>
    </row>
    <row r="315" spans="2:9" x14ac:dyDescent="0.25">
      <c r="B315" s="11" t="s">
        <v>58</v>
      </c>
      <c r="C315" s="11">
        <v>87</v>
      </c>
      <c r="D315" s="11">
        <v>265</v>
      </c>
      <c r="E315" s="50">
        <v>352</v>
      </c>
    </row>
    <row r="316" spans="2:9" x14ac:dyDescent="0.25">
      <c r="B316" s="11" t="s">
        <v>61</v>
      </c>
      <c r="C316" s="11">
        <v>194</v>
      </c>
      <c r="D316" s="11">
        <v>79</v>
      </c>
      <c r="E316" s="50">
        <v>273</v>
      </c>
    </row>
    <row r="317" spans="2:9" x14ac:dyDescent="0.25">
      <c r="B317" s="31" t="s">
        <v>204</v>
      </c>
      <c r="C317" s="50">
        <v>727</v>
      </c>
      <c r="D317" s="50">
        <v>611</v>
      </c>
      <c r="E317" s="50">
        <v>1338</v>
      </c>
    </row>
    <row r="320" spans="2:9" ht="15.75" thickBot="1" x14ac:dyDescent="0.3">
      <c r="B320" s="47" t="s">
        <v>64</v>
      </c>
      <c r="C320" s="47" t="s">
        <v>65</v>
      </c>
    </row>
    <row r="321" spans="2:3" x14ac:dyDescent="0.25">
      <c r="B321" s="52" t="s">
        <v>60</v>
      </c>
      <c r="C321" s="53">
        <v>437</v>
      </c>
    </row>
    <row r="322" spans="2:3" x14ac:dyDescent="0.25">
      <c r="B322" s="54" t="s">
        <v>14</v>
      </c>
      <c r="C322" s="55">
        <v>357</v>
      </c>
    </row>
    <row r="323" spans="2:3" ht="15.75" thickBot="1" x14ac:dyDescent="0.3">
      <c r="B323" s="56" t="s">
        <v>9</v>
      </c>
      <c r="C323" s="57">
        <v>80</v>
      </c>
    </row>
    <row r="324" spans="2:3" x14ac:dyDescent="0.25">
      <c r="B324" s="52" t="s">
        <v>59</v>
      </c>
      <c r="C324" s="53">
        <v>276</v>
      </c>
    </row>
    <row r="325" spans="2:3" x14ac:dyDescent="0.25">
      <c r="B325" s="54" t="s">
        <v>14</v>
      </c>
      <c r="C325" s="55">
        <v>89</v>
      </c>
    </row>
    <row r="326" spans="2:3" ht="15.75" thickBot="1" x14ac:dyDescent="0.3">
      <c r="B326" s="56" t="s">
        <v>9</v>
      </c>
      <c r="C326" s="57">
        <v>187</v>
      </c>
    </row>
    <row r="327" spans="2:3" x14ac:dyDescent="0.25">
      <c r="B327" s="52" t="s">
        <v>58</v>
      </c>
      <c r="C327" s="53">
        <v>352</v>
      </c>
    </row>
    <row r="328" spans="2:3" x14ac:dyDescent="0.25">
      <c r="B328" s="54" t="s">
        <v>14</v>
      </c>
      <c r="C328" s="55">
        <v>87</v>
      </c>
    </row>
    <row r="329" spans="2:3" ht="15.75" thickBot="1" x14ac:dyDescent="0.3">
      <c r="B329" s="56" t="s">
        <v>9</v>
      </c>
      <c r="C329" s="57">
        <v>265</v>
      </c>
    </row>
    <row r="330" spans="2:3" x14ac:dyDescent="0.25">
      <c r="B330" s="52" t="s">
        <v>61</v>
      </c>
      <c r="C330" s="53">
        <v>273</v>
      </c>
    </row>
    <row r="331" spans="2:3" x14ac:dyDescent="0.25">
      <c r="B331" s="54" t="s">
        <v>14</v>
      </c>
      <c r="C331" s="55">
        <v>194</v>
      </c>
    </row>
    <row r="332" spans="2:3" ht="15.75" thickBot="1" x14ac:dyDescent="0.3">
      <c r="B332" s="56" t="s">
        <v>9</v>
      </c>
      <c r="C332" s="57">
        <v>79</v>
      </c>
    </row>
    <row r="333" spans="2:3" x14ac:dyDescent="0.25">
      <c r="B333" s="1"/>
      <c r="C333" s="1"/>
    </row>
    <row r="334" spans="2:3" x14ac:dyDescent="0.25">
      <c r="B334" s="62" t="s">
        <v>207</v>
      </c>
      <c r="C334" s="62"/>
    </row>
    <row r="335" spans="2:3" x14ac:dyDescent="0.25">
      <c r="B335" s="47" t="s">
        <v>2</v>
      </c>
      <c r="C335" s="47" t="s">
        <v>206</v>
      </c>
    </row>
    <row r="336" spans="2:3" x14ac:dyDescent="0.25">
      <c r="B336" s="1" t="s">
        <v>14</v>
      </c>
      <c r="C336" s="25">
        <v>90.875</v>
      </c>
    </row>
    <row r="337" spans="2:4" x14ac:dyDescent="0.25">
      <c r="B337" s="1" t="s">
        <v>9</v>
      </c>
      <c r="C337" s="25">
        <v>87.285714285714292</v>
      </c>
    </row>
    <row r="338" spans="2:4" x14ac:dyDescent="0.25">
      <c r="B338" s="47" t="s">
        <v>204</v>
      </c>
      <c r="C338" s="47">
        <v>89.2</v>
      </c>
    </row>
    <row r="340" spans="2:4" x14ac:dyDescent="0.25">
      <c r="B340" s="61" t="s">
        <v>208</v>
      </c>
      <c r="C340" s="61"/>
    </row>
    <row r="341" spans="2:4" x14ac:dyDescent="0.25">
      <c r="B341" s="47" t="s">
        <v>57</v>
      </c>
      <c r="C341" s="47" t="s">
        <v>2</v>
      </c>
      <c r="D341" s="47" t="s">
        <v>65</v>
      </c>
    </row>
    <row r="342" spans="2:4" x14ac:dyDescent="0.25">
      <c r="B342" s="1" t="s">
        <v>60</v>
      </c>
      <c r="C342" s="1" t="s">
        <v>14</v>
      </c>
      <c r="D342" s="1">
        <v>357</v>
      </c>
    </row>
    <row r="343" spans="2:4" x14ac:dyDescent="0.25">
      <c r="B343" s="1"/>
      <c r="C343" s="1" t="s">
        <v>9</v>
      </c>
      <c r="D343" s="1">
        <v>80</v>
      </c>
    </row>
    <row r="344" spans="2:4" x14ac:dyDescent="0.25">
      <c r="B344" s="1" t="s">
        <v>58</v>
      </c>
      <c r="C344" s="1" t="s">
        <v>14</v>
      </c>
      <c r="D344" s="1">
        <v>87</v>
      </c>
    </row>
    <row r="345" spans="2:4" x14ac:dyDescent="0.25">
      <c r="B345" s="1"/>
      <c r="C345" s="1" t="s">
        <v>9</v>
      </c>
      <c r="D345" s="1">
        <v>265</v>
      </c>
    </row>
    <row r="346" spans="2:4" x14ac:dyDescent="0.25">
      <c r="B346" s="1" t="s">
        <v>59</v>
      </c>
      <c r="C346" s="1" t="s">
        <v>14</v>
      </c>
      <c r="D346" s="1">
        <v>89</v>
      </c>
    </row>
    <row r="347" spans="2:4" x14ac:dyDescent="0.25">
      <c r="B347" s="1"/>
      <c r="C347" s="1" t="s">
        <v>9</v>
      </c>
      <c r="D347" s="1">
        <v>187</v>
      </c>
    </row>
    <row r="348" spans="2:4" x14ac:dyDescent="0.25">
      <c r="B348" s="1" t="s">
        <v>61</v>
      </c>
      <c r="C348" s="1" t="s">
        <v>14</v>
      </c>
      <c r="D348" s="1">
        <v>194</v>
      </c>
    </row>
    <row r="349" spans="2:4" x14ac:dyDescent="0.25">
      <c r="B349" s="1"/>
      <c r="C349" s="1" t="s">
        <v>9</v>
      </c>
      <c r="D349" s="1">
        <v>79</v>
      </c>
    </row>
    <row r="351" spans="2:4" x14ac:dyDescent="0.25">
      <c r="B351" s="58" t="s">
        <v>57</v>
      </c>
      <c r="C351" s="58" t="s">
        <v>2</v>
      </c>
      <c r="D351" s="1" t="s">
        <v>65</v>
      </c>
    </row>
    <row r="352" spans="2:4" x14ac:dyDescent="0.25">
      <c r="B352" s="1" t="s">
        <v>60</v>
      </c>
      <c r="C352" s="1" t="s">
        <v>14</v>
      </c>
      <c r="D352" s="1">
        <v>357</v>
      </c>
    </row>
    <row r="353" spans="2:4" x14ac:dyDescent="0.25">
      <c r="B353" s="1"/>
      <c r="C353" s="1" t="s">
        <v>9</v>
      </c>
      <c r="D353" s="1">
        <v>80</v>
      </c>
    </row>
    <row r="354" spans="2:4" x14ac:dyDescent="0.25">
      <c r="B354" s="1" t="s">
        <v>58</v>
      </c>
      <c r="C354" s="1" t="s">
        <v>14</v>
      </c>
      <c r="D354" s="1">
        <v>87</v>
      </c>
    </row>
    <row r="355" spans="2:4" x14ac:dyDescent="0.25">
      <c r="B355" s="1"/>
      <c r="C355" s="1" t="s">
        <v>9</v>
      </c>
      <c r="D355" s="1">
        <v>265</v>
      </c>
    </row>
    <row r="356" spans="2:4" x14ac:dyDescent="0.25">
      <c r="B356" s="1" t="s">
        <v>59</v>
      </c>
      <c r="C356" s="1" t="s">
        <v>14</v>
      </c>
      <c r="D356" s="1">
        <v>89</v>
      </c>
    </row>
    <row r="357" spans="2:4" x14ac:dyDescent="0.25">
      <c r="B357" s="1"/>
      <c r="C357" s="1" t="s">
        <v>9</v>
      </c>
      <c r="D357" s="1">
        <v>187</v>
      </c>
    </row>
    <row r="358" spans="2:4" x14ac:dyDescent="0.25">
      <c r="B358" s="1" t="s">
        <v>61</v>
      </c>
      <c r="C358" s="1" t="s">
        <v>14</v>
      </c>
      <c r="D358" s="1">
        <v>194</v>
      </c>
    </row>
    <row r="359" spans="2:4" x14ac:dyDescent="0.25">
      <c r="B359" s="1"/>
      <c r="C359" s="1" t="s">
        <v>9</v>
      </c>
      <c r="D359" s="1">
        <v>79</v>
      </c>
    </row>
  </sheetData>
  <sortState xmlns:xlrd2="http://schemas.microsoft.com/office/spreadsheetml/2017/richdata2" ref="A20:J24">
    <sortCondition descending="1" ref="I20:I24"/>
  </sortState>
  <mergeCells count="14">
    <mergeCell ref="B340:C340"/>
    <mergeCell ref="B334:C334"/>
    <mergeCell ref="B60:D60"/>
    <mergeCell ref="A1:D1"/>
    <mergeCell ref="A10:B10"/>
    <mergeCell ref="A18:C18"/>
    <mergeCell ref="A27:D27"/>
    <mergeCell ref="A36:H36"/>
    <mergeCell ref="B38:E38"/>
    <mergeCell ref="B78:D78"/>
    <mergeCell ref="B146:D146"/>
    <mergeCell ref="B156:G156"/>
    <mergeCell ref="B193:C193"/>
    <mergeCell ref="B204:D204"/>
  </mergeCells>
  <phoneticPr fontId="5" type="noConversion"/>
  <conditionalFormatting sqref="B351 B40:B78 B2:B9 B17 B37:B38 B95:B96 B106 B115 B120 B126:B127 B144:B146 B155:B156 B173:B174 B191:B193 B195:B204 B221:B250 B266:B268 B286 B306 B355:B1048576 B334">
    <cfRule type="duplicateValues" dxfId="7" priority="21"/>
  </conditionalFormatting>
  <conditionalFormatting sqref="C234:C247">
    <cfRule type="duplicateValues" dxfId="6" priority="3"/>
  </conditionalFormatting>
  <conditionalFormatting sqref="G334">
    <cfRule type="duplicateValues" dxfId="5" priority="2"/>
  </conditionalFormatting>
  <conditionalFormatting sqref="H12:H16">
    <cfRule type="iconSet" priority="8">
      <iconSet iconSet="3Arrows">
        <cfvo type="percent" val="0"/>
        <cfvo type="percent" val="33"/>
        <cfvo type="percent" val="67"/>
      </iconSet>
    </cfRule>
  </conditionalFormatting>
  <conditionalFormatting sqref="H25:H28 H19">
    <cfRule type="colorScale" priority="7">
      <colorScale>
        <cfvo type="min"/>
        <cfvo type="percentile" val="50"/>
        <cfvo type="max"/>
        <color rgb="FFF8696B"/>
        <color rgb="FFFFEB84"/>
        <color rgb="FF63BE7B"/>
      </colorScale>
    </cfRule>
  </conditionalFormatting>
  <conditionalFormatting sqref="I12:I16">
    <cfRule type="iconSet" priority="9">
      <iconSet iconSet="3Arrows">
        <cfvo type="percent" val="0"/>
        <cfvo type="percent" val="33"/>
        <cfvo type="percent" val="67"/>
      </iconSet>
    </cfRule>
  </conditionalFormatting>
  <conditionalFormatting sqref="I19:I24">
    <cfRule type="colorScale" priority="1">
      <colorScale>
        <cfvo type="min"/>
        <cfvo type="percentile" val="50"/>
        <cfvo type="max"/>
        <color rgb="FFF8696B"/>
        <color rgb="FFFFEB84"/>
        <color rgb="FF63BE7B"/>
      </colorScale>
    </cfRule>
  </conditionalFormatting>
  <conditionalFormatting sqref="I62">
    <cfRule type="iconSet" priority="18">
      <iconSet iconSet="3Arrows">
        <cfvo type="percent" val="0"/>
        <cfvo type="percent" val="33"/>
        <cfvo type="percent" val="67"/>
      </iconSet>
    </cfRule>
  </conditionalFormatting>
  <conditionalFormatting sqref="I62:I64">
    <cfRule type="iconSet" priority="14">
      <iconSet iconSet="3Arrows">
        <cfvo type="percent" val="0"/>
        <cfvo type="percent" val="33"/>
        <cfvo type="percent" val="67"/>
      </iconSet>
    </cfRule>
  </conditionalFormatting>
  <conditionalFormatting sqref="I64">
    <cfRule type="iconSet" priority="15">
      <iconSet iconSet="3ArrowsGray">
        <cfvo type="percent" val="0"/>
        <cfvo type="percent" val="33"/>
        <cfvo type="percent" val="67"/>
      </iconSet>
    </cfRule>
  </conditionalFormatting>
  <conditionalFormatting sqref="I66:I68">
    <cfRule type="iconSet" priority="13">
      <iconSet iconSet="3Arrows">
        <cfvo type="percent" val="0"/>
        <cfvo type="percent" val="33"/>
        <cfvo type="percent" val="67"/>
      </iconSet>
    </cfRule>
  </conditionalFormatting>
  <conditionalFormatting sqref="I69:I70">
    <cfRule type="iconSet" priority="12">
      <iconSet iconSet="3Arrows">
        <cfvo type="percent" val="0"/>
        <cfvo type="percent" val="33"/>
        <cfvo type="percent" val="67"/>
      </iconSet>
    </cfRule>
  </conditionalFormatting>
  <conditionalFormatting sqref="I71:I75">
    <cfRule type="iconSet" priority="11">
      <iconSet iconSet="3Arrows">
        <cfvo type="percent" val="0"/>
        <cfvo type="percent" val="33"/>
        <cfvo type="percent" val="67"/>
      </iconSet>
    </cfRule>
  </conditionalFormatting>
  <conditionalFormatting sqref="J28:J36">
    <cfRule type="duplicateValues" dxfId="4" priority="5"/>
  </conditionalFormatting>
  <dataValidations count="1">
    <dataValidation type="list" allowBlank="1" showInputMessage="1" showErrorMessage="1" sqref="F224:F228" xr:uid="{D81401AA-8928-47A1-9797-091321B2A7C4}">
      <formula1>$B$225:$B$228</formula1>
    </dataValidation>
  </dataValidations>
  <hyperlinks>
    <hyperlink ref="B205" location="names!A1" display="Name" xr:uid="{4C749C49-2F8D-4EE8-8BED-5CFC0494E9A0}"/>
    <hyperlink ref="C234" r:id="rId2" display="Arjun@mail.com" xr:uid="{4AF00D13-BBCA-4038-AA32-3C85B317703D}"/>
    <hyperlink ref="C235" r:id="rId3" display="Madhav@mail.com" xr:uid="{4A74FF28-31D5-4318-8EF3-6A300968E84B}"/>
    <hyperlink ref="C236" r:id="rId4" display="Indu@gmail.com" xr:uid="{479B9A96-3B6E-4161-9C58-D9226024C24A}"/>
    <hyperlink ref="C237" r:id="rId5" display="Gopal@gmail.com" xr:uid="{52CABDE0-9E88-4FD4-BD93-33185CAD8922}"/>
    <hyperlink ref="C238" r:id="rId6" display="Keshav@gmail.com" xr:uid="{893F0AEA-2793-4580-90D0-D7B90DA58966}"/>
    <hyperlink ref="C239" r:id="rId7" display="champa@gmail.com" xr:uid="{B93F0CC2-7C36-4526-9D81-8D90540CC8A9}"/>
    <hyperlink ref="C240" r:id="rId8" display="Abhimayu@gmail.com" xr:uid="{7EFF15C7-3078-4608-B9AC-AB9AD5E8B00E}"/>
    <hyperlink ref="C241" r:id="rId9" display="Vrinda@mail.com" xr:uid="{8EA3645C-636E-4D2F-8C4B-8133B9C00867}"/>
    <hyperlink ref="C242" r:id="rId10" display="Gopi@mail.com" xr:uid="{B7819368-76D7-4E1C-AC34-388B89C51DF0}"/>
    <hyperlink ref="C243" r:id="rId11" display="Sudevi@mail.com" xr:uid="{DCFACE26-1923-4595-98A8-260E4F55CCAE}"/>
    <hyperlink ref="C244" r:id="rId12" display="Vishaka@mail.com" xr:uid="{19D06ADB-FE8F-42BF-BCC1-F1DC73879A6E}"/>
    <hyperlink ref="C245" r:id="rId13" display="Hari@mail.com" xr:uid="{79548315-7FED-4A46-B2B1-F1BEAF0BB594}"/>
    <hyperlink ref="C246" r:id="rId14" display="RNM@mail.com" xr:uid="{E703C7F2-4530-4EFC-A27D-5AB0A8155949}"/>
    <hyperlink ref="C247" r:id="rId15" display="Lalita@mail.com" xr:uid="{C2ACD732-D51B-49DB-AC65-CD0D8B4EDD96}"/>
    <hyperlink ref="B246" r:id="rId16" xr:uid="{B5327EEB-A655-489E-80AE-C6C0133066B2}"/>
    <hyperlink ref="B245" r:id="rId17" xr:uid="{C2D7DB2F-7CC2-4404-BA91-FE50693BF6F3}"/>
    <hyperlink ref="B244" r:id="rId18" xr:uid="{A5D8F3C3-C43A-4D31-9919-5530B239935C}"/>
    <hyperlink ref="B243" r:id="rId19" xr:uid="{5A746E86-2E94-45E8-82A7-3FA675CE76A2}"/>
    <hyperlink ref="B242" r:id="rId20" xr:uid="{11CCE7F9-06E3-4AE9-9CB4-0ABE72862196}"/>
    <hyperlink ref="B241" r:id="rId21" xr:uid="{E0025DB2-D4CD-44F7-818C-21A4E4E86C0F}"/>
    <hyperlink ref="B240" r:id="rId22" xr:uid="{BC3B7995-50FA-42E4-9A14-70262AA1EF18}"/>
    <hyperlink ref="B239" r:id="rId23" xr:uid="{A4DF1CB9-3DB4-475A-ABB3-0765962D8319}"/>
    <hyperlink ref="B238" r:id="rId24" xr:uid="{A5BFE29E-7B3C-4159-B551-EFDF92177D66}"/>
    <hyperlink ref="B237" r:id="rId25" xr:uid="{74DD405B-C90F-4CA9-B416-E208F2E3CFC4}"/>
    <hyperlink ref="B236" r:id="rId26" xr:uid="{BAD01BAF-0739-409E-968D-42F082B81C35}"/>
    <hyperlink ref="B235" r:id="rId27" xr:uid="{F4C9BF0C-154B-4015-9F1C-5BA1F837A4FC}"/>
    <hyperlink ref="B234" r:id="rId28" xr:uid="{64B0DFF6-F244-495B-BBAC-590C7E412E6B}"/>
  </hyperlinks>
  <pageMargins left="0.7" right="0.7" top="0.75" bottom="0.75" header="0.3" footer="0.3"/>
  <drawing r:id="rId29"/>
  <tableParts count="3">
    <tablePart r:id="rId30"/>
    <tablePart r:id="rId31"/>
    <tablePart r:id="rId32"/>
  </tableParts>
  <extLst>
    <ext xmlns:x14="http://schemas.microsoft.com/office/spreadsheetml/2009/9/main" uri="{78C0D931-6437-407d-A8EE-F0AAD7539E65}">
      <x14:conditionalFormattings>
        <x14:conditionalFormatting xmlns:xm="http://schemas.microsoft.com/office/excel/2006/main">
          <x14:cfRule type="iconSet" priority="17" id="{2E24C098-7C8B-4741-8B55-185D8B90F2BA}">
            <x14:iconSet iconSet="3Triangles">
              <x14:cfvo type="percent">
                <xm:f>0</xm:f>
              </x14:cfvo>
              <x14:cfvo type="percent">
                <xm:f>33</xm:f>
              </x14:cfvo>
              <x14:cfvo type="percent">
                <xm:f>67</xm:f>
              </x14:cfvo>
            </x14:iconSet>
          </x14:cfRule>
          <xm:sqref>I63</xm:sqref>
        </x14:conditionalFormatting>
      </x14:conditionalFormattings>
    </ext>
    <ext xmlns:x15="http://schemas.microsoft.com/office/spreadsheetml/2010/11/main" uri="{3A4CF648-6AED-40f4-86FF-DC5316D8AED3}">
      <x14:slicerList xmlns:x14="http://schemas.microsoft.com/office/spreadsheetml/2009/9/main">
        <x14:slicer r:id="rId3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8F9E-B041-46C3-A951-1A491F8310D9}">
  <dimension ref="A1:J7"/>
  <sheetViews>
    <sheetView tabSelected="1" workbookViewId="0">
      <selection activeCell="G5" sqref="G5"/>
    </sheetView>
  </sheetViews>
  <sheetFormatPr defaultRowHeight="15" x14ac:dyDescent="0.25"/>
  <cols>
    <col min="1" max="1" width="6.5703125" customWidth="1"/>
    <col min="2" max="2" width="10.5703125" bestFit="1" customWidth="1"/>
    <col min="3" max="3" width="10.85546875" bestFit="1" customWidth="1"/>
    <col min="4" max="4" width="15.140625" bestFit="1" customWidth="1"/>
    <col min="10" max="10" width="12.85546875" bestFit="1" customWidth="1"/>
  </cols>
  <sheetData>
    <row r="1" spans="1:10" x14ac:dyDescent="0.25">
      <c r="A1" s="71" t="s">
        <v>155</v>
      </c>
      <c r="B1" s="71"/>
      <c r="C1" s="71"/>
      <c r="D1" s="71"/>
      <c r="E1" s="71"/>
    </row>
    <row r="2" spans="1:10" ht="15.75" x14ac:dyDescent="0.25">
      <c r="A2" s="15" t="s">
        <v>85</v>
      </c>
      <c r="B2" s="15" t="s">
        <v>84</v>
      </c>
      <c r="C2" s="15" t="s">
        <v>37</v>
      </c>
      <c r="D2" s="15" t="s">
        <v>86</v>
      </c>
      <c r="E2" s="15" t="s">
        <v>87</v>
      </c>
      <c r="F2" s="15" t="s">
        <v>88</v>
      </c>
      <c r="G2" s="15" t="s">
        <v>89</v>
      </c>
      <c r="H2" s="15" t="s">
        <v>90</v>
      </c>
      <c r="I2" s="15" t="s">
        <v>91</v>
      </c>
      <c r="J2" s="15" t="s">
        <v>92</v>
      </c>
    </row>
    <row r="3" spans="1:10" x14ac:dyDescent="0.25">
      <c r="A3" s="11">
        <v>1</v>
      </c>
      <c r="B3" s="11" t="s">
        <v>93</v>
      </c>
      <c r="C3" s="11" t="s">
        <v>42</v>
      </c>
      <c r="D3" s="17">
        <v>42030</v>
      </c>
      <c r="E3" s="11">
        <v>1500</v>
      </c>
      <c r="F3" s="11">
        <v>1200</v>
      </c>
      <c r="G3" s="11">
        <v>1500</v>
      </c>
      <c r="H3" s="13">
        <f>SUM(E3,F3,G3)</f>
        <v>4200</v>
      </c>
      <c r="I3" s="28">
        <f>AVERAGE(E3,F3,G3)</f>
        <v>1400</v>
      </c>
      <c r="J3" s="11" t="str">
        <f>_xlfn.CONCAT(B3, "  ", C3)</f>
        <v>RNM  Kumar</v>
      </c>
    </row>
    <row r="4" spans="1:10" x14ac:dyDescent="0.25">
      <c r="A4" s="11">
        <v>2</v>
      </c>
      <c r="B4" s="11" t="s">
        <v>16</v>
      </c>
      <c r="C4" s="11" t="s">
        <v>94</v>
      </c>
      <c r="D4" s="17">
        <v>42954</v>
      </c>
      <c r="E4" s="11">
        <v>1700</v>
      </c>
      <c r="F4" s="11">
        <v>1800</v>
      </c>
      <c r="G4" s="11">
        <v>2000</v>
      </c>
      <c r="H4" s="13">
        <f t="shared" ref="H4:H7" si="0">SUM(E4,F4,G4)</f>
        <v>5500</v>
      </c>
      <c r="I4" s="28">
        <f t="shared" ref="I4:I7" si="1">AVERAGE(E4,F4,G4)</f>
        <v>1833.3333333333333</v>
      </c>
      <c r="J4" s="11" t="str">
        <f t="shared" ref="J4:J7" si="2">_xlfn.CONCAT(B4, "  ", C4)</f>
        <v>Gopal  Verma</v>
      </c>
    </row>
    <row r="5" spans="1:10" x14ac:dyDescent="0.25">
      <c r="A5" s="11">
        <v>3</v>
      </c>
      <c r="B5" s="11" t="s">
        <v>95</v>
      </c>
      <c r="C5" s="11" t="s">
        <v>96</v>
      </c>
      <c r="D5" s="17">
        <v>40976</v>
      </c>
      <c r="E5" s="11">
        <v>1800</v>
      </c>
      <c r="F5" s="11">
        <v>1500</v>
      </c>
      <c r="G5" s="11">
        <v>1900</v>
      </c>
      <c r="H5" s="13">
        <f t="shared" si="0"/>
        <v>5200</v>
      </c>
      <c r="I5" s="28">
        <f t="shared" si="1"/>
        <v>1733.3333333333333</v>
      </c>
      <c r="J5" s="11" t="str">
        <f t="shared" si="2"/>
        <v>Joseph  Paul</v>
      </c>
    </row>
    <row r="6" spans="1:10" x14ac:dyDescent="0.25">
      <c r="A6" s="11">
        <v>4</v>
      </c>
      <c r="B6" s="11" t="s">
        <v>17</v>
      </c>
      <c r="C6" s="11" t="s">
        <v>97</v>
      </c>
      <c r="D6" s="17">
        <v>43402</v>
      </c>
      <c r="E6" s="11">
        <v>1200</v>
      </c>
      <c r="F6" s="11">
        <v>1500</v>
      </c>
      <c r="G6" s="11">
        <v>1800</v>
      </c>
      <c r="H6" s="13">
        <f t="shared" si="0"/>
        <v>4500</v>
      </c>
      <c r="I6" s="28">
        <f t="shared" si="1"/>
        <v>1500</v>
      </c>
      <c r="J6" s="11" t="str">
        <f t="shared" si="2"/>
        <v>Hari  Singh</v>
      </c>
    </row>
    <row r="7" spans="1:10" x14ac:dyDescent="0.25">
      <c r="A7" s="11">
        <v>6</v>
      </c>
      <c r="B7" s="11" t="s">
        <v>98</v>
      </c>
      <c r="C7" s="11" t="s">
        <v>99</v>
      </c>
      <c r="D7" s="17">
        <v>40976</v>
      </c>
      <c r="E7" s="11">
        <v>2000</v>
      </c>
      <c r="F7" s="11">
        <v>2500</v>
      </c>
      <c r="G7" s="11">
        <v>2900</v>
      </c>
      <c r="H7" s="13">
        <f t="shared" si="0"/>
        <v>7400</v>
      </c>
      <c r="I7" s="28">
        <f t="shared" si="1"/>
        <v>2466.6666666666665</v>
      </c>
      <c r="J7" s="11" t="str">
        <f t="shared" si="2"/>
        <v>Raja  Ram</v>
      </c>
    </row>
  </sheetData>
  <conditionalFormatting sqref="B2:B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F9ED27-FEB9-4470-A893-6DE2F6AE45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Formulas</vt:lpstr>
      <vt:lpstr>Vlookup</vt:lpstr>
      <vt:lpstr>names</vt:lpstr>
      <vt:lpstr>Explanation</vt:lpstr>
      <vt:lpstr>Main working sheet</vt:lpstr>
      <vt:lpstr>SUM,AVG,CONCAT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Deepali Patange</dc:creator>
  <cp:lastModifiedBy>Deepali Patange</cp:lastModifiedBy>
  <dcterms:created xsi:type="dcterms:W3CDTF">2026-05-05T11:16:43Z</dcterms:created>
  <dcterms:modified xsi:type="dcterms:W3CDTF">2026-05-27T05:18:31Z</dcterms:modified>
</cp:coreProperties>
</file>